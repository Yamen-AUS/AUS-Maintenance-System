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yamen\OneDrive\Desktop\"/>
    </mc:Choice>
  </mc:AlternateContent>
  <xr:revisionPtr revIDLastSave="0" documentId="8_{A39E541F-DCA5-456F-A00B-95D8CDDFE62A}" xr6:coauthVersionLast="47" xr6:coauthVersionMax="47" xr10:uidLastSave="{00000000-0000-0000-0000-000000000000}"/>
  <bookViews>
    <workbookView xWindow="-104" yWindow="-104" windowWidth="22326" windowHeight="11947" activeTab="1" xr2:uid="{00000000-000D-0000-FFFF-FFFF00000000}"/>
  </bookViews>
  <sheets>
    <sheet name="⚙️ Settings" sheetId="1" r:id="rId1"/>
    <sheet name="📋 Task Tracker" sheetId="2" r:id="rId2"/>
    <sheet name="📊 Analytics Dashboard" sheetId="3" r:id="rId3"/>
    <sheet name="🏢 Vendors" sheetId="4" r:id="rId4"/>
    <sheet name="📅 Annual Schedule" sheetId="5" r:id="rId5"/>
    <sheet name="📈 Annual Trend Log" sheetId="6" r:id="rId6"/>
    <sheet name="ℹ️ Guide"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5" i="6" l="1"/>
  <c r="D15" i="6"/>
  <c r="C15" i="6"/>
  <c r="O23" i="5"/>
  <c r="N23" i="5"/>
  <c r="M23" i="5"/>
  <c r="L23" i="5"/>
  <c r="K23" i="5"/>
  <c r="J23" i="5"/>
  <c r="I23" i="5"/>
  <c r="H23" i="5"/>
  <c r="G23" i="5"/>
  <c r="F23" i="5"/>
  <c r="E23" i="5"/>
  <c r="D23" i="5"/>
  <c r="B56" i="3"/>
  <c r="B55" i="3"/>
  <c r="B52" i="3"/>
  <c r="I47" i="3"/>
  <c r="H47" i="3"/>
  <c r="G47" i="3"/>
  <c r="F47" i="3"/>
  <c r="E47" i="3"/>
  <c r="D47" i="3"/>
  <c r="I46" i="3"/>
  <c r="H46" i="3"/>
  <c r="G46" i="3"/>
  <c r="F46" i="3"/>
  <c r="E46" i="3"/>
  <c r="D46" i="3"/>
  <c r="I45" i="3"/>
  <c r="H45" i="3"/>
  <c r="G45" i="3"/>
  <c r="F45" i="3"/>
  <c r="E45" i="3"/>
  <c r="D45" i="3"/>
  <c r="I44" i="3"/>
  <c r="H44" i="3"/>
  <c r="G44" i="3"/>
  <c r="F44" i="3"/>
  <c r="E44" i="3"/>
  <c r="D44" i="3"/>
  <c r="I43" i="3"/>
  <c r="H43" i="3"/>
  <c r="G43" i="3"/>
  <c r="F43" i="3"/>
  <c r="E43" i="3"/>
  <c r="D43" i="3"/>
  <c r="I42" i="3"/>
  <c r="H42" i="3"/>
  <c r="G42" i="3"/>
  <c r="F42" i="3"/>
  <c r="E42" i="3"/>
  <c r="D42" i="3"/>
  <c r="I41" i="3"/>
  <c r="H41" i="3"/>
  <c r="G41" i="3"/>
  <c r="F41" i="3"/>
  <c r="E41" i="3"/>
  <c r="D41" i="3"/>
  <c r="I40" i="3"/>
  <c r="H40" i="3"/>
  <c r="G40" i="3"/>
  <c r="F40" i="3"/>
  <c r="E40" i="3"/>
  <c r="D40" i="3"/>
  <c r="I39" i="3"/>
  <c r="H39" i="3"/>
  <c r="G39" i="3"/>
  <c r="F39" i="3"/>
  <c r="E39" i="3"/>
  <c r="D39" i="3"/>
  <c r="I38" i="3"/>
  <c r="H38" i="3"/>
  <c r="G38" i="3"/>
  <c r="F38" i="3"/>
  <c r="E38" i="3"/>
  <c r="D38" i="3"/>
  <c r="I37" i="3"/>
  <c r="H37" i="3"/>
  <c r="G37" i="3"/>
  <c r="F37" i="3"/>
  <c r="E37" i="3"/>
  <c r="D37" i="3"/>
  <c r="I36" i="3"/>
  <c r="H36" i="3"/>
  <c r="G36" i="3"/>
  <c r="F36" i="3"/>
  <c r="E36" i="3"/>
  <c r="D36" i="3"/>
  <c r="I35" i="3"/>
  <c r="H35" i="3"/>
  <c r="G35" i="3"/>
  <c r="F35" i="3"/>
  <c r="E35" i="3"/>
  <c r="D35" i="3"/>
  <c r="N30" i="3"/>
  <c r="N29" i="3"/>
  <c r="N28" i="3"/>
  <c r="N27" i="3"/>
  <c r="N26" i="3"/>
  <c r="E26" i="3"/>
  <c r="N22" i="3"/>
  <c r="L22" i="3"/>
  <c r="J22" i="3"/>
  <c r="H22" i="3"/>
  <c r="F22" i="3"/>
  <c r="D22" i="3"/>
  <c r="N21" i="3"/>
  <c r="L21" i="3"/>
  <c r="J21" i="3"/>
  <c r="H21" i="3"/>
  <c r="F21" i="3"/>
  <c r="D21" i="3"/>
  <c r="N20" i="3"/>
  <c r="L20" i="3"/>
  <c r="J20" i="3"/>
  <c r="H20" i="3"/>
  <c r="F20" i="3"/>
  <c r="D20" i="3"/>
  <c r="N19" i="3"/>
  <c r="L19" i="3"/>
  <c r="J19" i="3"/>
  <c r="H19" i="3"/>
  <c r="F19" i="3"/>
  <c r="D19" i="3"/>
  <c r="F14" i="3"/>
  <c r="N13" i="3"/>
  <c r="F13" i="3"/>
  <c r="N12" i="3"/>
  <c r="F12" i="3"/>
  <c r="N11" i="3"/>
  <c r="F11" i="3"/>
  <c r="N10" i="3"/>
  <c r="F10" i="3"/>
  <c r="N6" i="3"/>
  <c r="L6" i="3"/>
  <c r="H6" i="3"/>
  <c r="F6" i="3"/>
  <c r="D6" i="3"/>
  <c r="B6" i="3"/>
  <c r="P205" i="2"/>
  <c r="S33" i="2"/>
  <c r="O33" i="2"/>
  <c r="N33" i="2"/>
  <c r="S32" i="2"/>
  <c r="O32" i="2"/>
  <c r="N32" i="2"/>
  <c r="S31" i="2"/>
  <c r="O31" i="2"/>
  <c r="N31" i="2"/>
  <c r="S30" i="2"/>
  <c r="O30" i="2"/>
  <c r="N30" i="2"/>
  <c r="S29" i="2"/>
  <c r="O29" i="2"/>
  <c r="N29" i="2"/>
  <c r="S28" i="2"/>
  <c r="O28" i="2"/>
  <c r="N28" i="2"/>
  <c r="S27" i="2"/>
  <c r="O27" i="2"/>
  <c r="N27" i="2"/>
  <c r="S26" i="2"/>
  <c r="O26" i="2"/>
  <c r="N26" i="2"/>
  <c r="S25" i="2"/>
  <c r="O25" i="2"/>
  <c r="N25" i="2"/>
  <c r="S24" i="2"/>
  <c r="O24" i="2"/>
  <c r="N24" i="2"/>
  <c r="S23" i="2"/>
  <c r="O23" i="2"/>
  <c r="N23" i="2"/>
  <c r="S22" i="2"/>
  <c r="O22" i="2"/>
  <c r="N22" i="2"/>
  <c r="S21" i="2"/>
  <c r="O21" i="2"/>
  <c r="N21" i="2"/>
  <c r="S20" i="2"/>
  <c r="O20" i="2"/>
  <c r="N20" i="2"/>
  <c r="S19" i="2"/>
  <c r="O19" i="2"/>
  <c r="N19" i="2"/>
  <c r="S18" i="2"/>
  <c r="O18" i="2"/>
  <c r="N18" i="2"/>
  <c r="S17" i="2"/>
  <c r="O17" i="2"/>
  <c r="N17" i="2"/>
  <c r="S16" i="2"/>
  <c r="O16" i="2"/>
  <c r="N16" i="2"/>
  <c r="S15" i="2"/>
  <c r="O15" i="2"/>
  <c r="N15" i="2"/>
  <c r="S14" i="2"/>
  <c r="O14" i="2"/>
  <c r="N14" i="2"/>
  <c r="S13" i="2"/>
  <c r="O13" i="2"/>
  <c r="N13" i="2"/>
  <c r="S12" i="2"/>
  <c r="O12" i="2"/>
  <c r="N12" i="2"/>
  <c r="S11" i="2"/>
  <c r="O11" i="2"/>
  <c r="N11" i="2"/>
  <c r="S10" i="2"/>
  <c r="O10" i="2"/>
  <c r="N10" i="2"/>
  <c r="S9" i="2"/>
  <c r="O9" i="2"/>
  <c r="N9" i="2"/>
  <c r="S8" i="2"/>
  <c r="O8" i="2"/>
  <c r="N8" i="2"/>
  <c r="S7" i="2"/>
  <c r="O7" i="2"/>
  <c r="N7" i="2"/>
  <c r="S6" i="2"/>
  <c r="E28" i="3" s="1"/>
  <c r="O6" i="2"/>
  <c r="E27" i="3" s="1"/>
  <c r="N6" i="2"/>
  <c r="S5" i="2"/>
  <c r="O5" i="2"/>
  <c r="N5" i="2"/>
  <c r="E29" i="3" s="1"/>
  <c r="S4" i="2"/>
  <c r="O4" i="2"/>
  <c r="E30" i="3" s="1"/>
  <c r="N4" i="2"/>
  <c r="B51" i="3" l="1"/>
  <c r="J6" i="3"/>
</calcChain>
</file>

<file path=xl/sharedStrings.xml><?xml version="1.0" encoding="utf-8"?>
<sst xmlns="http://schemas.openxmlformats.org/spreadsheetml/2006/main" count="1136" uniqueCount="630">
  <si>
    <t>⚙️  SYSTEM SETTINGS &amp; LOOKUP TABLES  —  ARAB UNITY SCHOOL  |  AY 2025-26</t>
  </si>
  <si>
    <t>Status</t>
  </si>
  <si>
    <t>Priority</t>
  </si>
  <si>
    <t>Category</t>
  </si>
  <si>
    <t>Location</t>
  </si>
  <si>
    <t>Term</t>
  </si>
  <si>
    <t>Assigned To</t>
  </si>
  <si>
    <t>⚙️ KPI Target</t>
  </si>
  <si>
    <t>Value</t>
  </si>
  <si>
    <t>⏳ Pending</t>
  </si>
  <si>
    <t>🔴 Critical</t>
  </si>
  <si>
    <t>Electrical</t>
  </si>
  <si>
    <t>Main Building</t>
  </si>
  <si>
    <t>Term 1</t>
  </si>
  <si>
    <t>Maintenance Team</t>
  </si>
  <si>
    <t>Completion Rate Target</t>
  </si>
  <si>
    <t>🔄 In Progress</t>
  </si>
  <si>
    <t>🟠 High</t>
  </si>
  <si>
    <t>Plumbing</t>
  </si>
  <si>
    <t>Block A – Boys</t>
  </si>
  <si>
    <t>Term 2</t>
  </si>
  <si>
    <t>Cleaning Crew</t>
  </si>
  <si>
    <t>Max Overdue Tasks</t>
  </si>
  <si>
    <t>⏸ On Hold</t>
  </si>
  <si>
    <t>🟡 Medium</t>
  </si>
  <si>
    <t>Civil / Building</t>
  </si>
  <si>
    <t>Block B – Girls</t>
  </si>
  <si>
    <t>Term 3</t>
  </si>
  <si>
    <t>IT Team</t>
  </si>
  <si>
    <t>Max Critical Pending</t>
  </si>
  <si>
    <t>✅ Completed</t>
  </si>
  <si>
    <t>🟢 Low</t>
  </si>
  <si>
    <t>HVAC / AC</t>
  </si>
  <si>
    <t>Primary Section</t>
  </si>
  <si>
    <t>Summer</t>
  </si>
  <si>
    <t>Electrical Team</t>
  </si>
  <si>
    <t>Annual Budget Threshold AED</t>
  </si>
  <si>
    <t>❌ Cancelled</t>
  </si>
  <si>
    <t>Painting</t>
  </si>
  <si>
    <t>Taher Hall</t>
  </si>
  <si>
    <t>HVAC Contractor</t>
  </si>
  <si>
    <t>On-Time Rate Target</t>
  </si>
  <si>
    <t>Carpentry</t>
  </si>
  <si>
    <t>Admin Office</t>
  </si>
  <si>
    <t>Safety Officer</t>
  </si>
  <si>
    <t>Cleaning</t>
  </si>
  <si>
    <t>Gym / Sports Hall</t>
  </si>
  <si>
    <t>Pool Contractor</t>
  </si>
  <si>
    <t>IT / AV Equipment</t>
  </si>
  <si>
    <t>Swimming Pool</t>
  </si>
  <si>
    <t>External Vendor</t>
  </si>
  <si>
    <t>Safety &amp; Security</t>
  </si>
  <si>
    <t>Canteen / Kitchen</t>
  </si>
  <si>
    <t>In-House</t>
  </si>
  <si>
    <t>Landscaping</t>
  </si>
  <si>
    <t>Parking</t>
  </si>
  <si>
    <t>Furniture</t>
  </si>
  <si>
    <t>Outdoor / Playground</t>
  </si>
  <si>
    <t>Pest Control</t>
  </si>
  <si>
    <t>Library</t>
  </si>
  <si>
    <t>Other</t>
  </si>
  <si>
    <t>Science Lab</t>
  </si>
  <si>
    <t>Art Room</t>
  </si>
  <si>
    <t>IT Lab</t>
  </si>
  <si>
    <t>Auditorium</t>
  </si>
  <si>
    <t>Toilets</t>
  </si>
  <si>
    <t>Storage Room</t>
  </si>
  <si>
    <t>🏫   ARAB UNITY SCHOOL  —  MAINTENANCE MANAGEMENT SYSTEM  |  AY 2025-26  (ANNUAL)</t>
  </si>
  <si>
    <t>#</t>
  </si>
  <si>
    <t>Task ID</t>
  </si>
  <si>
    <t>Task Title</t>
  </si>
  <si>
    <t>Reported By</t>
  </si>
  <si>
    <t>Date Reported</t>
  </si>
  <si>
    <t>Due Date</t>
  </si>
  <si>
    <t>Date Completed</t>
  </si>
  <si>
    <t>Days to Close</t>
  </si>
  <si>
    <t>Overdue?</t>
  </si>
  <si>
    <t>Cost (AED)</t>
  </si>
  <si>
    <t>Vendor</t>
  </si>
  <si>
    <t>% Progress</t>
  </si>
  <si>
    <t>Health Score</t>
  </si>
  <si>
    <t>Notes</t>
  </si>
  <si>
    <t>📎 Attachment / File Link</t>
  </si>
  <si>
    <t>MNT-001</t>
  </si>
  <si>
    <t>Fix broken ceiling tiles – Classroom B3</t>
  </si>
  <si>
    <t>Principal</t>
  </si>
  <si>
    <t>15/09/2025</t>
  </si>
  <si>
    <t>25/09/2025</t>
  </si>
  <si>
    <t>24/09/2025</t>
  </si>
  <si>
    <t>Al Noor Contractors</t>
  </si>
  <si>
    <t>100%</t>
  </si>
  <si>
    <t>Completed on time</t>
  </si>
  <si>
    <t>MNT-002</t>
  </si>
  <si>
    <t>AC unit not cooling – Science Lab</t>
  </si>
  <si>
    <t>Vice Principal</t>
  </si>
  <si>
    <t>20/09/2025</t>
  </si>
  <si>
    <t>22/09/2025</t>
  </si>
  <si>
    <t>Cool Air Services</t>
  </si>
  <si>
    <t>Emergency fix</t>
  </si>
  <si>
    <t>MNT-003</t>
  </si>
  <si>
    <t>Repaint exterior wall – Main entrance</t>
  </si>
  <si>
    <t>Head of Operations</t>
  </si>
  <si>
    <t>01/10/2025</t>
  </si>
  <si>
    <t>20/10/2025</t>
  </si>
  <si>
    <t>18/10/2025</t>
  </si>
  <si>
    <t>BrightPaint LLC</t>
  </si>
  <si>
    <t>Completed before inspection</t>
  </si>
  <si>
    <t>MNT-004</t>
  </si>
  <si>
    <t>Replace faulty electrical sockets – IT Lab</t>
  </si>
  <si>
    <t>Facility Officer</t>
  </si>
  <si>
    <t>05/10/2025</t>
  </si>
  <si>
    <t>10/10/2025</t>
  </si>
  <si>
    <t>09/10/2025</t>
  </si>
  <si>
    <t>Spark Electric Co.</t>
  </si>
  <si>
    <t>6 sockets replaced</t>
  </si>
  <si>
    <t>MNT-005</t>
  </si>
  <si>
    <t>Unclog drain – Boys toilets Block A</t>
  </si>
  <si>
    <t>12/10/2025</t>
  </si>
  <si>
    <t>13/10/2025</t>
  </si>
  <si>
    <t>Same day fix</t>
  </si>
  <si>
    <t>MNT-006</t>
  </si>
  <si>
    <t>Install new projector – Auditorium</t>
  </si>
  <si>
    <t>15/10/2025</t>
  </si>
  <si>
    <t>30/10/2025</t>
  </si>
  <si>
    <t>28/10/2025</t>
  </si>
  <si>
    <t>TechVision UAE</t>
  </si>
  <si>
    <t>Installed &amp; tested</t>
  </si>
  <si>
    <t>MNT-007</t>
  </si>
  <si>
    <t>Replace broken fence panel – Playground</t>
  </si>
  <si>
    <t>01/11/2025</t>
  </si>
  <si>
    <t>SafeBuild Contractors</t>
  </si>
  <si>
    <t>Safety hazard resolved</t>
  </si>
  <si>
    <t>MNT-008</t>
  </si>
  <si>
    <t>CCTV camera replacement – Block B</t>
  </si>
  <si>
    <t>25/10/2025</t>
  </si>
  <si>
    <t>10/11/2025</t>
  </si>
  <si>
    <t>08/11/2025</t>
  </si>
  <si>
    <t>SecureVision Systems</t>
  </si>
  <si>
    <t>5 cameras replaced</t>
  </si>
  <si>
    <t>MNT-009</t>
  </si>
  <si>
    <t>Pest control – Canteen &amp; Storage</t>
  </si>
  <si>
    <t>05/11/2025</t>
  </si>
  <si>
    <t>04/11/2025</t>
  </si>
  <si>
    <t>PestFree UAE</t>
  </si>
  <si>
    <t>Monthly treatment</t>
  </si>
  <si>
    <t>MNT-010</t>
  </si>
  <si>
    <t>Repair water fountain – Main lobby</t>
  </si>
  <si>
    <t>30/11/2025</t>
  </si>
  <si>
    <t>25/11/2025</t>
  </si>
  <si>
    <t>Spare part arrived late</t>
  </si>
  <si>
    <t>MNT-011</t>
  </si>
  <si>
    <t>Library roof leak – emergency patch</t>
  </si>
  <si>
    <t>15/11/2025</t>
  </si>
  <si>
    <t>17/11/2025</t>
  </si>
  <si>
    <t>Full repair planned T3</t>
  </si>
  <si>
    <t>MNT-012</t>
  </si>
  <si>
    <t>Generator annual service</t>
  </si>
  <si>
    <t>20/11/2025</t>
  </si>
  <si>
    <t>28/11/2025</t>
  </si>
  <si>
    <t>Certificate obtained</t>
  </si>
  <si>
    <t>MNT-013</t>
  </si>
  <si>
    <t>Swimming pool pump replacement</t>
  </si>
  <si>
    <t>05/01/2026</t>
  </si>
  <si>
    <t>20/01/2026</t>
  </si>
  <si>
    <t>18/01/2026</t>
  </si>
  <si>
    <t>PoolTech UAE</t>
  </si>
  <si>
    <t>New pump installed</t>
  </si>
  <si>
    <t>MNT-014</t>
  </si>
  <si>
    <t>Fire alarm annual test &amp; service</t>
  </si>
  <si>
    <t>08/01/2026</t>
  </si>
  <si>
    <t>15/01/2026</t>
  </si>
  <si>
    <t>14/01/2026</t>
  </si>
  <si>
    <t>FireSafe Systems</t>
  </si>
  <si>
    <t>Civil Defence cert. received</t>
  </si>
  <si>
    <t>MNT-015</t>
  </si>
  <si>
    <t>Taher Hall stage repaint</t>
  </si>
  <si>
    <t>10/02/2026</t>
  </si>
  <si>
    <t>08/02/2026</t>
  </si>
  <si>
    <t>Before Annual Day</t>
  </si>
  <si>
    <t>MNT-016</t>
  </si>
  <si>
    <t>Gym floor varnishing</t>
  </si>
  <si>
    <t>15/02/2026</t>
  </si>
  <si>
    <t>14/02/2026</t>
  </si>
  <si>
    <t>FloorPro UAE</t>
  </si>
  <si>
    <t>3-day drying, area closed</t>
  </si>
  <si>
    <t>MNT-017</t>
  </si>
  <si>
    <t>Primary door lock replacement</t>
  </si>
  <si>
    <t>22/01/2026</t>
  </si>
  <si>
    <t>30/01/2026</t>
  </si>
  <si>
    <t>29/01/2026</t>
  </si>
  <si>
    <t>All 8 locks replaced</t>
  </si>
  <si>
    <t>MNT-018</t>
  </si>
  <si>
    <t>Science lab fume hood repair</t>
  </si>
  <si>
    <t>25/01/2026</t>
  </si>
  <si>
    <t>05/02/2026</t>
  </si>
  <si>
    <t>04/02/2026</t>
  </si>
  <si>
    <t>H&amp;S compliance</t>
  </si>
  <si>
    <t>MNT-019</t>
  </si>
  <si>
    <t>Parking lot LED lighting upgrade</t>
  </si>
  <si>
    <t>01/02/2026</t>
  </si>
  <si>
    <t>20/02/2026</t>
  </si>
  <si>
    <t>19/02/2026</t>
  </si>
  <si>
    <t>Energy saving upgrade</t>
  </si>
  <si>
    <t>MNT-020</t>
  </si>
  <si>
    <t>Canteen exhaust fan replacement</t>
  </si>
  <si>
    <t>Old fan replaced</t>
  </si>
  <si>
    <t>MNT-021</t>
  </si>
  <si>
    <t>01/03/2026</t>
  </si>
  <si>
    <t>10/03/2026</t>
  </si>
  <si>
    <t>40%</t>
  </si>
  <si>
    <t>3 tiles cracked</t>
  </si>
  <si>
    <t>MNT-022</t>
  </si>
  <si>
    <t>03/03/2026</t>
  </si>
  <si>
    <t>05/03/2026</t>
  </si>
  <si>
    <t>0%</t>
  </si>
  <si>
    <t>Class relocated</t>
  </si>
  <si>
    <t>MNT-023</t>
  </si>
  <si>
    <t>Repaint exterior – Admin entrance</t>
  </si>
  <si>
    <t>25/03/2026</t>
  </si>
  <si>
    <t>Spring break scheduled</t>
  </si>
  <si>
    <t>MNT-024</t>
  </si>
  <si>
    <t>Replace faulty sockets – Block B</t>
  </si>
  <si>
    <t>07/03/2026</t>
  </si>
  <si>
    <t>18/03/2026</t>
  </si>
  <si>
    <t>10%</t>
  </si>
  <si>
    <t>Awaiting parts</t>
  </si>
  <si>
    <t>MNT-025</t>
  </si>
  <si>
    <t>CCTV camera replacement – Block C</t>
  </si>
  <si>
    <t>28/02/2026</t>
  </si>
  <si>
    <t>14/03/2026</t>
  </si>
  <si>
    <t>60%</t>
  </si>
  <si>
    <t>3 of 5 installed</t>
  </si>
  <si>
    <t>MNT-026</t>
  </si>
  <si>
    <t>Pest control – Canteen</t>
  </si>
  <si>
    <t>08/03/2026</t>
  </si>
  <si>
    <t>MNT-027</t>
  </si>
  <si>
    <t>Library full roof repair</t>
  </si>
  <si>
    <t>06/03/2026</t>
  </si>
  <si>
    <t>30/03/2026</t>
  </si>
  <si>
    <t>Permanent fix for T1 patch</t>
  </si>
  <si>
    <t>MNT-028</t>
  </si>
  <si>
    <t>Gym wall painting</t>
  </si>
  <si>
    <t>MNT-029</t>
  </si>
  <si>
    <t>IT lab server room AC</t>
  </si>
  <si>
    <t>02/03/2026</t>
  </si>
  <si>
    <t>09/03/2026</t>
  </si>
  <si>
    <t>50%</t>
  </si>
  <si>
    <t>Server overheating risk</t>
  </si>
  <si>
    <t>MNT-030</t>
  </si>
  <si>
    <t>Outdoor lighting – playground</t>
  </si>
  <si>
    <t>20/03/2026</t>
  </si>
  <si>
    <t>Safety upgrade</t>
  </si>
  <si>
    <t>MNT-031</t>
  </si>
  <si>
    <t>MNT-032</t>
  </si>
  <si>
    <t>MNT-033</t>
  </si>
  <si>
    <t>MNT-034</t>
  </si>
  <si>
    <t>MNT-035</t>
  </si>
  <si>
    <t>MNT-036</t>
  </si>
  <si>
    <t>MNT-037</t>
  </si>
  <si>
    <t>MNT-038</t>
  </si>
  <si>
    <t>MNT-039</t>
  </si>
  <si>
    <t>MNT-040</t>
  </si>
  <si>
    <t>MNT-041</t>
  </si>
  <si>
    <t>MNT-042</t>
  </si>
  <si>
    <t>MNT-043</t>
  </si>
  <si>
    <t>MNT-044</t>
  </si>
  <si>
    <t>MNT-045</t>
  </si>
  <si>
    <t>MNT-046</t>
  </si>
  <si>
    <t>MNT-047</t>
  </si>
  <si>
    <t>MNT-048</t>
  </si>
  <si>
    <t>MNT-049</t>
  </si>
  <si>
    <t>MNT-050</t>
  </si>
  <si>
    <t>MNT-051</t>
  </si>
  <si>
    <t>MNT-052</t>
  </si>
  <si>
    <t>MNT-053</t>
  </si>
  <si>
    <t>MNT-054</t>
  </si>
  <si>
    <t>MNT-055</t>
  </si>
  <si>
    <t>MNT-056</t>
  </si>
  <si>
    <t>MNT-057</t>
  </si>
  <si>
    <t>MNT-058</t>
  </si>
  <si>
    <t>MNT-059</t>
  </si>
  <si>
    <t>MNT-060</t>
  </si>
  <si>
    <t>MNT-061</t>
  </si>
  <si>
    <t>MNT-062</t>
  </si>
  <si>
    <t>MNT-063</t>
  </si>
  <si>
    <t>MNT-064</t>
  </si>
  <si>
    <t>MNT-065</t>
  </si>
  <si>
    <t>MNT-066</t>
  </si>
  <si>
    <t>MNT-067</t>
  </si>
  <si>
    <t>MNT-068</t>
  </si>
  <si>
    <t>MNT-069</t>
  </si>
  <si>
    <t>MNT-070</t>
  </si>
  <si>
    <t>MNT-071</t>
  </si>
  <si>
    <t>MNT-072</t>
  </si>
  <si>
    <t>MNT-073</t>
  </si>
  <si>
    <t>MNT-074</t>
  </si>
  <si>
    <t>MNT-075</t>
  </si>
  <si>
    <t>MNT-076</t>
  </si>
  <si>
    <t>MNT-077</t>
  </si>
  <si>
    <t>MNT-078</t>
  </si>
  <si>
    <t>MNT-079</t>
  </si>
  <si>
    <t>MNT-080</t>
  </si>
  <si>
    <t>MNT-081</t>
  </si>
  <si>
    <t>MNT-082</t>
  </si>
  <si>
    <t>MNT-083</t>
  </si>
  <si>
    <t>MNT-084</t>
  </si>
  <si>
    <t>MNT-085</t>
  </si>
  <si>
    <t>MNT-086</t>
  </si>
  <si>
    <t>MNT-087</t>
  </si>
  <si>
    <t>MNT-088</t>
  </si>
  <si>
    <t>MNT-089</t>
  </si>
  <si>
    <t>MNT-090</t>
  </si>
  <si>
    <t>MNT-091</t>
  </si>
  <si>
    <t>MNT-092</t>
  </si>
  <si>
    <t>MNT-093</t>
  </si>
  <si>
    <t>MNT-094</t>
  </si>
  <si>
    <t>MNT-095</t>
  </si>
  <si>
    <t>MNT-096</t>
  </si>
  <si>
    <t>MNT-097</t>
  </si>
  <si>
    <t>MNT-098</t>
  </si>
  <si>
    <t>MNT-099</t>
  </si>
  <si>
    <t>MNT-100</t>
  </si>
  <si>
    <t>MNT-101</t>
  </si>
  <si>
    <t>MNT-102</t>
  </si>
  <si>
    <t>MNT-103</t>
  </si>
  <si>
    <t>MNT-104</t>
  </si>
  <si>
    <t>MNT-105</t>
  </si>
  <si>
    <t>MNT-106</t>
  </si>
  <si>
    <t>MNT-107</t>
  </si>
  <si>
    <t>MNT-108</t>
  </si>
  <si>
    <t>MNT-109</t>
  </si>
  <si>
    <t>MNT-110</t>
  </si>
  <si>
    <t>MNT-111</t>
  </si>
  <si>
    <t>MNT-112</t>
  </si>
  <si>
    <t>MNT-113</t>
  </si>
  <si>
    <t>MNT-114</t>
  </si>
  <si>
    <t>MNT-115</t>
  </si>
  <si>
    <t>MNT-116</t>
  </si>
  <si>
    <t>MNT-117</t>
  </si>
  <si>
    <t>MNT-118</t>
  </si>
  <si>
    <t>MNT-119</t>
  </si>
  <si>
    <t>MNT-120</t>
  </si>
  <si>
    <t>MNT-121</t>
  </si>
  <si>
    <t>MNT-122</t>
  </si>
  <si>
    <t>MNT-123</t>
  </si>
  <si>
    <t>MNT-124</t>
  </si>
  <si>
    <t>MNT-125</t>
  </si>
  <si>
    <t>MNT-126</t>
  </si>
  <si>
    <t>MNT-127</t>
  </si>
  <si>
    <t>MNT-128</t>
  </si>
  <si>
    <t>MNT-129</t>
  </si>
  <si>
    <t>MNT-130</t>
  </si>
  <si>
    <t>MNT-131</t>
  </si>
  <si>
    <t>MNT-132</t>
  </si>
  <si>
    <t>MNT-133</t>
  </si>
  <si>
    <t>MNT-134</t>
  </si>
  <si>
    <t>MNT-135</t>
  </si>
  <si>
    <t>MNT-136</t>
  </si>
  <si>
    <t>MNT-137</t>
  </si>
  <si>
    <t>MNT-138</t>
  </si>
  <si>
    <t>MNT-139</t>
  </si>
  <si>
    <t>MNT-140</t>
  </si>
  <si>
    <t>MNT-141</t>
  </si>
  <si>
    <t>MNT-142</t>
  </si>
  <si>
    <t>MNT-143</t>
  </si>
  <si>
    <t>MNT-144</t>
  </si>
  <si>
    <t>MNT-145</t>
  </si>
  <si>
    <t>MNT-146</t>
  </si>
  <si>
    <t>MNT-147</t>
  </si>
  <si>
    <t>MNT-148</t>
  </si>
  <si>
    <t>MNT-149</t>
  </si>
  <si>
    <t>MNT-150</t>
  </si>
  <si>
    <t>MNT-151</t>
  </si>
  <si>
    <t>MNT-152</t>
  </si>
  <si>
    <t>MNT-153</t>
  </si>
  <si>
    <t>MNT-154</t>
  </si>
  <si>
    <t>MNT-155</t>
  </si>
  <si>
    <t>MNT-156</t>
  </si>
  <si>
    <t>MNT-157</t>
  </si>
  <si>
    <t>MNT-158</t>
  </si>
  <si>
    <t>MNT-159</t>
  </si>
  <si>
    <t>MNT-160</t>
  </si>
  <si>
    <t>MNT-161</t>
  </si>
  <si>
    <t>MNT-162</t>
  </si>
  <si>
    <t>MNT-163</t>
  </si>
  <si>
    <t>MNT-164</t>
  </si>
  <si>
    <t>MNT-165</t>
  </si>
  <si>
    <t>MNT-166</t>
  </si>
  <si>
    <t>MNT-167</t>
  </si>
  <si>
    <t>MNT-168</t>
  </si>
  <si>
    <t>MNT-169</t>
  </si>
  <si>
    <t>MNT-170</t>
  </si>
  <si>
    <t>MNT-171</t>
  </si>
  <si>
    <t>MNT-172</t>
  </si>
  <si>
    <t>MNT-173</t>
  </si>
  <si>
    <t>MNT-174</t>
  </si>
  <si>
    <t>MNT-175</t>
  </si>
  <si>
    <t>MNT-176</t>
  </si>
  <si>
    <t>MNT-177</t>
  </si>
  <si>
    <t>MNT-178</t>
  </si>
  <si>
    <t>MNT-179</t>
  </si>
  <si>
    <t>MNT-180</t>
  </si>
  <si>
    <t>MNT-181</t>
  </si>
  <si>
    <t>MNT-182</t>
  </si>
  <si>
    <t>MNT-183</t>
  </si>
  <si>
    <t>MNT-184</t>
  </si>
  <si>
    <t>MNT-185</t>
  </si>
  <si>
    <t>MNT-186</t>
  </si>
  <si>
    <t>MNT-187</t>
  </si>
  <si>
    <t>MNT-188</t>
  </si>
  <si>
    <t>MNT-189</t>
  </si>
  <si>
    <t>MNT-190</t>
  </si>
  <si>
    <t>MNT-191</t>
  </si>
  <si>
    <t>MNT-192</t>
  </si>
  <si>
    <t>MNT-193</t>
  </si>
  <si>
    <t>MNT-194</t>
  </si>
  <si>
    <t>MNT-195</t>
  </si>
  <si>
    <t>MNT-196</t>
  </si>
  <si>
    <t>MNT-197</t>
  </si>
  <si>
    <t>MNT-198</t>
  </si>
  <si>
    <t>MNT-199</t>
  </si>
  <si>
    <t>MNT-200</t>
  </si>
  <si>
    <t>💰  ANNUAL TOTAL COST  (All Tasks  •  AY 2025-26)</t>
  </si>
  <si>
    <t>📊   ANNUAL ANALYTICS DASHBOARD  —  ARAB UNITY SCHOOL  |  AY 2025-26</t>
  </si>
  <si>
    <t>⚡  ANNUAL KEY PERFORMANCE INDICATORS  —  AY 2025-26</t>
  </si>
  <si>
    <t>📋 Total
Tasks (Annual)</t>
  </si>
  <si>
    <t>🚨 Overdue</t>
  </si>
  <si>
    <t>🔴 Critical
Pending</t>
  </si>
  <si>
    <t>📌  Task Status Breakdown</t>
  </si>
  <si>
    <t>⚡  Priority Distribution</t>
  </si>
  <si>
    <t>📅  Term-by-Term Breakdown  (Annual View)</t>
  </si>
  <si>
    <t>Total Tasks</t>
  </si>
  <si>
    <t>Completed</t>
  </si>
  <si>
    <t>In Progress</t>
  </si>
  <si>
    <t>Pending</t>
  </si>
  <si>
    <t>Total Cost (AED)</t>
  </si>
  <si>
    <t>Completion %</t>
  </si>
  <si>
    <t>🟣 Term 1</t>
  </si>
  <si>
    <t>🔵 Term 2</t>
  </si>
  <si>
    <t>🟡 Term 3</t>
  </si>
  <si>
    <t>🟢 Summer</t>
  </si>
  <si>
    <t>📈  Annual Performance Metrics</t>
  </si>
  <si>
    <t>💰  Annual Cost Analytics</t>
  </si>
  <si>
    <t>Annual Completion Rate</t>
  </si>
  <si>
    <t>Target: 75%</t>
  </si>
  <si>
    <t>Annual Total Cost</t>
  </si>
  <si>
    <t>Annual On-Time Rate</t>
  </si>
  <si>
    <t>Target: 85%</t>
  </si>
  <si>
    <t>Completed Tasks Cost</t>
  </si>
  <si>
    <t>Avg. Health Score</t>
  </si>
  <si>
    <t>/ 100</t>
  </si>
  <si>
    <t>Pending + In Progress</t>
  </si>
  <si>
    <t>Avg. Days to Close</t>
  </si>
  <si>
    <t>days avg.</t>
  </si>
  <si>
    <t>On-Hold Cost</t>
  </si>
  <si>
    <t>Annual Overdue Rate</t>
  </si>
  <si>
    <t>Target: &lt;10%</t>
  </si>
  <si>
    <t>Critical Tasks Total</t>
  </si>
  <si>
    <t>🗂️  Annual Analysis by Category</t>
  </si>
  <si>
    <t>Total</t>
  </si>
  <si>
    <t>On Hold</t>
  </si>
  <si>
    <t>Total Cost</t>
  </si>
  <si>
    <t>🤖  Smart Alerts &amp; System Recommendations  (Auto-Updated)</t>
  </si>
  <si>
    <t>🏢   APPROVED VENDORS &amp; CONTRACTORS  —  ARAB UNITY SCHOOL  |  AY 2025-26</t>
  </si>
  <si>
    <t>Vendor Name</t>
  </si>
  <si>
    <t>Specialty</t>
  </si>
  <si>
    <t>Contact Name</t>
  </si>
  <si>
    <t>Phone</t>
  </si>
  <si>
    <t>Email</t>
  </si>
  <si>
    <t>Contract Expires</t>
  </si>
  <si>
    <t>Rating</t>
  </si>
  <si>
    <t>Civil/Building</t>
  </si>
  <si>
    <t>Mohammed Al Noor</t>
  </si>
  <si>
    <t>+971 50 123 4567</t>
  </si>
  <si>
    <t>info@alnoor.ae</t>
  </si>
  <si>
    <t>31/12/2026</t>
  </si>
  <si>
    <t>⭐⭐⭐⭐</t>
  </si>
  <si>
    <t>Preferred civil works</t>
  </si>
  <si>
    <t>HVAC/AC</t>
  </si>
  <si>
    <t>Rajesh Kumar</t>
  </si>
  <si>
    <t>+971 55 234 5678</t>
  </si>
  <si>
    <t>service@coolair.ae</t>
  </si>
  <si>
    <t>30/06/2026</t>
  </si>
  <si>
    <t>⭐⭐⭐⭐⭐</t>
  </si>
  <si>
    <t>Priority HVAC vendor</t>
  </si>
  <si>
    <t>Ali Hassan</t>
  </si>
  <si>
    <t>+971 52 345 6789</t>
  </si>
  <si>
    <t>ali@sparkco.ae</t>
  </si>
  <si>
    <t>Approved for all electrical</t>
  </si>
  <si>
    <t>James Wilson</t>
  </si>
  <si>
    <t>+971 56 456 7890</t>
  </si>
  <si>
    <t>james@brightpaint.ae</t>
  </si>
  <si>
    <t>31/08/2026</t>
  </si>
  <si>
    <t>⭐⭐⭐</t>
  </si>
  <si>
    <t>Scheduled works only</t>
  </si>
  <si>
    <t>IT/AV Equipment</t>
  </si>
  <si>
    <t>Sara Al Mansoori</t>
  </si>
  <si>
    <t>+971 50 567 8901</t>
  </si>
  <si>
    <t>sara@techvision.ae</t>
  </si>
  <si>
    <t>30/09/2026</t>
  </si>
  <si>
    <t>IT procurement partner</t>
  </si>
  <si>
    <t>Khalid Ibrahim</t>
  </si>
  <si>
    <t>+971 54 678 9012</t>
  </si>
  <si>
    <t>khalid@safebuild.ae</t>
  </si>
  <si>
    <t>28/02/2027</t>
  </si>
  <si>
    <t>Outdoor &amp; structural</t>
  </si>
  <si>
    <t>Omar Al Rashid</t>
  </si>
  <si>
    <t>+971 55 789 0123</t>
  </si>
  <si>
    <t>omar@securevision.ae</t>
  </si>
  <si>
    <t>31/07/2026</t>
  </si>
  <si>
    <t>CCTV &amp; access control</t>
  </si>
  <si>
    <t>Ramesh Patel</t>
  </si>
  <si>
    <t>+971 52 890 1234</t>
  </si>
  <si>
    <t>info@pestfree.ae</t>
  </si>
  <si>
    <t>31/03/2027</t>
  </si>
  <si>
    <t>In-House Maintenance</t>
  </si>
  <si>
    <t>General</t>
  </si>
  <si>
    <t>Ext. 101</t>
  </si>
  <si>
    <t>maintenance@aus.ae</t>
  </si>
  <si>
    <t>N/A</t>
  </si>
  <si>
    <t>All routine tasks</t>
  </si>
  <si>
    <t>Hassan Al Ameri</t>
  </si>
  <si>
    <t>+971 56 901 2345</t>
  </si>
  <si>
    <t>info@pooltech.ae</t>
  </si>
  <si>
    <t>Pool &amp; plumbing specialist</t>
  </si>
  <si>
    <t>Robert Nair</t>
  </si>
  <si>
    <t>+971 52 012 3456</t>
  </si>
  <si>
    <t>info@floorpro.ae</t>
  </si>
  <si>
    <t>Flooring specialist</t>
  </si>
  <si>
    <t>Ahmed Karimi</t>
  </si>
  <si>
    <t>+971 55 123 4567</t>
  </si>
  <si>
    <t>service@firesafe.ae</t>
  </si>
  <si>
    <t>31/03/2026</t>
  </si>
  <si>
    <t>Fire safety compliance</t>
  </si>
  <si>
    <t>📅   ANNUAL PREVENTIVE MAINTENANCE SCHEDULE  —  AY 2025-26</t>
  </si>
  <si>
    <t>🟣 Term 1 (Sep–Dec)</t>
  </si>
  <si>
    <t>🔵 Term 2 (Jan–Mar)</t>
  </si>
  <si>
    <t>🟡 Term 3 (Apr–Jun)</t>
  </si>
  <si>
    <t>🟢 Summer (Jul–Aug)</t>
  </si>
  <si>
    <t>Recurring Task / Activity</t>
  </si>
  <si>
    <t>Responsible Team</t>
  </si>
  <si>
    <t>Sep</t>
  </si>
  <si>
    <t>Oct</t>
  </si>
  <si>
    <t>Nov</t>
  </si>
  <si>
    <t>Dec</t>
  </si>
  <si>
    <t>Jan</t>
  </si>
  <si>
    <t>Feb</t>
  </si>
  <si>
    <t>Mar</t>
  </si>
  <si>
    <t>Apr</t>
  </si>
  <si>
    <t>May</t>
  </si>
  <si>
    <t>Jun</t>
  </si>
  <si>
    <t>Jul</t>
  </si>
  <si>
    <t>Aug</t>
  </si>
  <si>
    <t>Weekly building inspection</t>
  </si>
  <si>
    <t>⏳</t>
  </si>
  <si>
    <t>Toilets deep cleaning</t>
  </si>
  <si>
    <t>Fire extinguisher inspection</t>
  </si>
  <si>
    <t>Generator test run</t>
  </si>
  <si>
    <t>AC filter cleaning – all units</t>
  </si>
  <si>
    <t>CCTV system check</t>
  </si>
  <si>
    <t>Playground equipment inspection</t>
  </si>
  <si>
    <t>Pool water treatment &amp; testing</t>
  </si>
  <si>
    <t>Pest control – canteen &amp; kitchen</t>
  </si>
  <si>
    <t>Corridor lighting check</t>
  </si>
  <si>
    <t>Library AC maintenance</t>
  </si>
  <si>
    <t>Roof &amp; drainage inspection</t>
  </si>
  <si>
    <t>Sports hall floor check</t>
  </si>
  <si>
    <t>Canteen deep clean &amp; inspection</t>
  </si>
  <si>
    <t>Emergency lighting test</t>
  </si>
  <si>
    <t>Water tanks cleaning</t>
  </si>
  <si>
    <t>Annual fire drill</t>
  </si>
  <si>
    <t>Garden &amp; landscaping maintenance</t>
  </si>
  <si>
    <t>Landscaping Team</t>
  </si>
  <si>
    <t>📊  Monthly Completion Summary (✅ Done count):</t>
  </si>
  <si>
    <t>📈   ANNUAL KPI TREND LOG  —  ARAB UNITY SCHOOL  |  AY 2025-26</t>
  </si>
  <si>
    <t>Month</t>
  </si>
  <si>
    <t>Overdue</t>
  </si>
  <si>
    <t>On-Time %</t>
  </si>
  <si>
    <t>Avg Health</t>
  </si>
  <si>
    <t>Budget Var.</t>
  </si>
  <si>
    <t>Tasks w/ Files</t>
  </si>
  <si>
    <t>September</t>
  </si>
  <si>
    <t>71.1%</t>
  </si>
  <si>
    <t>88%</t>
  </si>
  <si>
    <t>8</t>
  </si>
  <si>
    <t>Strong start</t>
  </si>
  <si>
    <t>October</t>
  </si>
  <si>
    <t>73.7%</t>
  </si>
  <si>
    <t>90%</t>
  </si>
  <si>
    <t>5</t>
  </si>
  <si>
    <t>November</t>
  </si>
  <si>
    <t>76.9%</t>
  </si>
  <si>
    <t>85%</t>
  </si>
  <si>
    <t>12</t>
  </si>
  <si>
    <t>Increased civil works</t>
  </si>
  <si>
    <t>December</t>
  </si>
  <si>
    <t>86.2%</t>
  </si>
  <si>
    <t>93%</t>
  </si>
  <si>
    <t>4</t>
  </si>
  <si>
    <t>Holiday — fewer tasks</t>
  </si>
  <si>
    <t>January</t>
  </si>
  <si>
    <t>73.2%</t>
  </si>
  <si>
    <t>87%</t>
  </si>
  <si>
    <t>7</t>
  </si>
  <si>
    <t>February</t>
  </si>
  <si>
    <t>72.9%</t>
  </si>
  <si>
    <t>84%</t>
  </si>
  <si>
    <t>9</t>
  </si>
  <si>
    <t>March</t>
  </si>
  <si>
    <t>Current month</t>
  </si>
  <si>
    <t>April</t>
  </si>
  <si>
    <t>June</t>
  </si>
  <si>
    <t>July</t>
  </si>
  <si>
    <t>August</t>
  </si>
  <si>
    <t>📊  ANNUAL TOTALS</t>
  </si>
  <si>
    <t>ℹ️   HOW TO USE  —  AUS MAINTENANCE SYSTEM  |  AY 2025-26  (ANNUAL)</t>
  </si>
  <si>
    <t>📋 Task Tracker  (Annual)</t>
  </si>
  <si>
    <t>Central database for ALL maintenance tasks across the full academic year.
▸ Column F = Term  (Term 1 / Term 2 / Term 3 / Summer) — colour-coded automatically
▸ Column N = Days to Close — auto-calculated from date reported to completion
▸ Column O = Overdue? — auto-flags 🚨 OVERDUE when due date passes
▸ Column S = Health Score (0–100) — auto-rated by status &amp; priority
▸ Annual cost total is at the bottom of column P
▸ Row turns GREEN when Completed | RED tint for Critical tasks
▸ Supports up to 200 tasks for the full year</t>
  </si>
  <si>
    <t>📎 File Attachment Column  (Column U)</t>
  </si>
  <si>
    <t>Column U — '📎 Attachment / File Link' is for linking supporting documents:
HOW TO ATTACH A FILE:
Option 1 — Paste the file path:
  • Right-click the cell → insert a hyperlink
  • Or type the full file path:  C:\Maintenance\Photos\MNT-001.jpg
  • Or a SharePoint / Teams URL:  https://ausschool.sharepoint.com/...
Option 2 — Insert Hyperlink (recommended):
  1. Click the cell in column U
  2. Press Ctrl + K
  3. Choose 'Existing File or Web Page'
  4. Browse to your photo, PDF, or document
  5. Click OK — cell shows clickable link
Supported file types: Photos (.jpg/.png), PDFs, Word docs, invoices, certificates
Tip: Store files in a shared folder (SharePoint / Teams) so all team members can open links</t>
  </si>
  <si>
    <t>📊 Analytics Dashboard  (Annual)</t>
  </si>
  <si>
    <t>Full annual live analytics — auto-updates from Task Tracker.
▸ 7 Annual KPI cards
▸ Term-by-Term Breakdown: performance for each of 3 terms + summer
▸ Annual completion rate, on-time rate, avg health score, avg days to close
▸ Annual cost breakdown: total / completed / pending / critical
▸ Category &amp; Location analysis
▸ 🤖 6 Smart Alerts — auto-flag issues as you work</t>
  </si>
  <si>
    <t>📅 Annual Schedule</t>
  </si>
  <si>
    <t>Preventive maintenance calendar across all 12 months.
▸ Colour-coded by Term: 🟣 T1 (Sep–Dec) | 🔵 T2 (Jan–Mar) | 🟡 T3 (Apr–Jun) | 🟢 Summer
▸ ⏳ = Planned month for that task
▸ Click any ⏳ cell → dropdown: ✅ Done / 🔄 In Progress / ❌ Skip / ➡️ Rescheduled
▸ Summary row at the bottom counts completed tasks per month</t>
  </si>
  <si>
    <t>📈 Annual Trend Log</t>
  </si>
  <si>
    <t>Month-by-month KPI history for the full academic year.
▸ Fill in each month at month-end review
▸ Column M = Tasks with Attachments (count tasks that have files linked)
▸ Annual totals row auto-sums at the bottom
▸ Completion % column has green/red colour coding
▸ Use for DSIB evidence, board reports, annual review</t>
  </si>
  <si>
    <t>⚙️ Settings</t>
  </si>
  <si>
    <t>Lookup tables powering all dropdown menus.
▸ Edit any list item here → all dropdowns update everywhere
▸ KPI Targets (column N): adjust to your school's goals
▸ Annual Budget Threshold: set in row 7 of column N</t>
  </si>
  <si>
    <t>💡 Tips &amp; Best Practices</t>
  </si>
  <si>
    <t>▸ Save after every session — share via SharePoint or Teams
▸ Use Ctrl+F to search any task or vendor
▸ Sort Task Tracker by Due Date or Priority for daily planning
▸ Add file links (Ctrl+K) immediately after task is logged
▸ Update Trend Log at the end of each month
▸ Print Analytics Dashboard (landscape A3) for management meetings
▸ Archive completed tasks at end of each term to keep tracker clean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</si>
</sst>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quot;AED&quot;"/>
    <numFmt numFmtId="165" formatCode="0.0%"/>
    <numFmt numFmtId="166" formatCode="0.0"/>
  </numFmts>
  <fonts count="58" x14ac:knownFonts="1">
    <font>
      <sz val="11"/>
      <color theme="1"/>
      <name val="Calibri"/>
      <family val="2"/>
      <scheme val="minor"/>
    </font>
    <font>
      <b/>
      <sz val="14"/>
      <color rgb="FFFFFFFF"/>
      <name val="Calibri"/>
      <family val="2"/>
    </font>
    <font>
      <b/>
      <sz val="10"/>
      <color rgb="FFFFFFFF"/>
      <name val="Calibri"/>
      <family val="2"/>
    </font>
    <font>
      <sz val="10"/>
      <color rgb="FF1A1A1A"/>
      <name val="Calibri"/>
      <family val="2"/>
    </font>
    <font>
      <b/>
      <sz val="10"/>
      <color rgb="FF1A1A1A"/>
      <name val="Calibri"/>
      <family val="2"/>
    </font>
    <font>
      <b/>
      <sz val="10"/>
      <color rgb="FF1B3A5C"/>
      <name val="Calibri"/>
      <family val="2"/>
    </font>
    <font>
      <b/>
      <sz val="16"/>
      <color rgb="FFFFFFFF"/>
      <name val="Calibri"/>
      <family val="2"/>
    </font>
    <font>
      <sz val="9"/>
      <color rgb="FF6B7280"/>
      <name val="Calibri"/>
      <family val="2"/>
    </font>
    <font>
      <b/>
      <sz val="10"/>
      <color rgb="FF5B21B6"/>
      <name val="Calibri"/>
      <family val="2"/>
    </font>
    <font>
      <b/>
      <sz val="10"/>
      <color rgb="FFC2410C"/>
      <name val="Calibri"/>
      <family val="2"/>
    </font>
    <font>
      <b/>
      <sz val="10"/>
      <color rgb="FF166534"/>
      <name val="Calibri"/>
      <family val="2"/>
    </font>
    <font>
      <b/>
      <sz val="10"/>
      <color rgb="FF991B1B"/>
      <name val="Calibri"/>
      <family val="2"/>
    </font>
    <font>
      <i/>
      <sz val="9"/>
      <color rgb="FF0F766E"/>
      <name val="Calibri"/>
      <family val="2"/>
    </font>
    <font>
      <b/>
      <sz val="10"/>
      <color rgb="FF854D0E"/>
      <name val="Calibri"/>
      <family val="2"/>
    </font>
    <font>
      <b/>
      <sz val="10"/>
      <color rgb="FF0F766E"/>
      <name val="Calibri"/>
      <family val="2"/>
    </font>
    <font>
      <b/>
      <sz val="10"/>
      <color rgb="FF92400E"/>
      <name val="Calibri"/>
      <family val="2"/>
    </font>
    <font>
      <b/>
      <sz val="10"/>
      <color rgb="FF6B7280"/>
      <name val="Calibri"/>
      <family val="2"/>
    </font>
    <font>
      <sz val="9"/>
      <color rgb="FFD1D5DB"/>
      <name val="Calibri"/>
      <family val="2"/>
    </font>
    <font>
      <b/>
      <sz val="11"/>
      <color rgb="FFFFFFFF"/>
      <name val="Calibri"/>
      <family val="2"/>
    </font>
    <font>
      <b/>
      <sz val="12"/>
      <color rgb="FF1B3A5C"/>
      <name val="Calibri"/>
      <family val="2"/>
    </font>
    <font>
      <b/>
      <sz val="17"/>
      <color rgb="FFFFFFFF"/>
      <name val="Calibri"/>
      <family val="2"/>
    </font>
    <font>
      <b/>
      <sz val="12"/>
      <color rgb="FFFFFFFF"/>
      <name val="Calibri"/>
      <family val="2"/>
    </font>
    <font>
      <b/>
      <sz val="22"/>
      <color rgb="FF1B3A5C"/>
      <name val="Calibri"/>
      <family val="2"/>
    </font>
    <font>
      <b/>
      <sz val="22"/>
      <color rgb="FF166534"/>
      <name val="Calibri"/>
      <family val="2"/>
    </font>
    <font>
      <b/>
      <sz val="22"/>
      <color rgb="FFC2410C"/>
      <name val="Calibri"/>
      <family val="2"/>
    </font>
    <font>
      <b/>
      <sz val="22"/>
      <color rgb="FF854D0E"/>
      <name val="Calibri"/>
      <family val="2"/>
    </font>
    <font>
      <b/>
      <sz val="22"/>
      <color rgb="FF991B1B"/>
      <name val="Calibri"/>
      <family val="2"/>
    </font>
    <font>
      <b/>
      <sz val="22"/>
      <color rgb="FF6B7280"/>
      <name val="Calibri"/>
      <family val="2"/>
    </font>
    <font>
      <b/>
      <sz val="11"/>
      <color rgb="FF854D0E"/>
      <name val="Calibri"/>
      <family val="2"/>
    </font>
    <font>
      <b/>
      <sz val="13"/>
      <color rgb="FF854D0E"/>
      <name val="Calibri"/>
      <family val="2"/>
    </font>
    <font>
      <b/>
      <sz val="11"/>
      <color rgb="FFC2410C"/>
      <name val="Calibri"/>
      <family val="2"/>
    </font>
    <font>
      <b/>
      <sz val="13"/>
      <color rgb="FFC2410C"/>
      <name val="Calibri"/>
      <family val="2"/>
    </font>
    <font>
      <b/>
      <sz val="11"/>
      <color rgb="FF6B7280"/>
      <name val="Calibri"/>
      <family val="2"/>
    </font>
    <font>
      <b/>
      <sz val="13"/>
      <color rgb="FF6B7280"/>
      <name val="Calibri"/>
      <family val="2"/>
    </font>
    <font>
      <b/>
      <sz val="11"/>
      <color rgb="FF166534"/>
      <name val="Calibri"/>
      <family val="2"/>
    </font>
    <font>
      <b/>
      <sz val="13"/>
      <color rgb="FF166534"/>
      <name val="Calibri"/>
      <family val="2"/>
    </font>
    <font>
      <b/>
      <sz val="11"/>
      <color rgb="FF991B1B"/>
      <name val="Calibri"/>
      <family val="2"/>
    </font>
    <font>
      <b/>
      <sz val="13"/>
      <color rgb="FF991B1B"/>
      <name val="Calibri"/>
      <family val="2"/>
    </font>
    <font>
      <sz val="10"/>
      <color rgb="FF5B21B6"/>
      <name val="Calibri"/>
      <family val="2"/>
    </font>
    <font>
      <sz val="10"/>
      <color rgb="FF0F766E"/>
      <name val="Calibri"/>
      <family val="2"/>
    </font>
    <font>
      <sz val="10"/>
      <color rgb="FF92400E"/>
      <name val="Calibri"/>
      <family val="2"/>
    </font>
    <font>
      <sz val="10"/>
      <color rgb="FF166534"/>
      <name val="Calibri"/>
      <family val="2"/>
    </font>
    <font>
      <b/>
      <sz val="10"/>
      <color rgb="FF2563A8"/>
      <name val="Calibri"/>
      <family val="2"/>
    </font>
    <font>
      <b/>
      <sz val="13"/>
      <color rgb="FF2563A8"/>
      <name val="Calibri"/>
      <family val="2"/>
    </font>
    <font>
      <i/>
      <sz val="9"/>
      <color rgb="FF6B7280"/>
      <name val="Calibri"/>
      <family val="2"/>
    </font>
    <font>
      <b/>
      <sz val="13"/>
      <color rgb="FF0F766E"/>
      <name val="Calibri"/>
      <family val="2"/>
    </font>
    <font>
      <b/>
      <sz val="12"/>
      <color rgb="FF166534"/>
      <name val="Calibri"/>
      <family val="2"/>
    </font>
    <font>
      <b/>
      <sz val="12"/>
      <color rgb="FFC2410C"/>
      <name val="Calibri"/>
      <family val="2"/>
    </font>
    <font>
      <b/>
      <sz val="12"/>
      <color rgb="FF6B7280"/>
      <name val="Calibri"/>
      <family val="2"/>
    </font>
    <font>
      <b/>
      <sz val="12"/>
      <color rgb="FF991B1B"/>
      <name val="Calibri"/>
      <family val="2"/>
    </font>
    <font>
      <b/>
      <sz val="15"/>
      <color rgb="FFFFFFFF"/>
      <name val="Calibri"/>
      <family val="2"/>
    </font>
    <font>
      <b/>
      <sz val="9"/>
      <color rgb="FF5B21B6"/>
      <name val="Calibri"/>
      <family val="2"/>
    </font>
    <font>
      <b/>
      <sz val="9"/>
      <color rgb="FF0F766E"/>
      <name val="Calibri"/>
      <family val="2"/>
    </font>
    <font>
      <b/>
      <sz val="9"/>
      <color rgb="FF92400E"/>
      <name val="Calibri"/>
      <family val="2"/>
    </font>
    <font>
      <b/>
      <sz val="9"/>
      <color rgb="FF166534"/>
      <name val="Calibri"/>
      <family val="2"/>
    </font>
    <font>
      <sz val="9"/>
      <color rgb="FF1A1A1A"/>
      <name val="Calibri"/>
      <family val="2"/>
    </font>
    <font>
      <b/>
      <sz val="11"/>
      <color rgb="FFEAB308"/>
      <name val="Calibri"/>
      <family val="2"/>
    </font>
    <font>
      <b/>
      <sz val="11"/>
      <color rgb="FF1B3A5C"/>
      <name val="Calibri"/>
      <family val="2"/>
    </font>
  </fonts>
  <fills count="25">
    <fill>
      <patternFill patternType="none"/>
    </fill>
    <fill>
      <patternFill patternType="gray125"/>
    </fill>
    <fill>
      <patternFill patternType="solid">
        <fgColor rgb="FF0D1B2A"/>
      </patternFill>
    </fill>
    <fill>
      <patternFill patternType="solid">
        <fgColor rgb="FF1B3A5C"/>
      </patternFill>
    </fill>
    <fill>
      <patternFill patternType="solid">
        <fgColor rgb="FFEBF4FC"/>
      </patternFill>
    </fill>
    <fill>
      <patternFill patternType="solid">
        <fgColor rgb="FFFFFFFF"/>
      </patternFill>
    </fill>
    <fill>
      <patternFill patternType="solid">
        <fgColor rgb="FFBDD7EE"/>
      </patternFill>
    </fill>
    <fill>
      <patternFill patternType="solid">
        <fgColor rgb="FF0F766E"/>
      </patternFill>
    </fill>
    <fill>
      <patternFill patternType="solid">
        <fgColor rgb="FFF0F2F5"/>
      </patternFill>
    </fill>
    <fill>
      <patternFill patternType="solid">
        <fgColor rgb="FFF8FAFB"/>
      </patternFill>
    </fill>
    <fill>
      <patternFill patternType="solid">
        <fgColor rgb="FFEDE9FE"/>
      </patternFill>
    </fill>
    <fill>
      <patternFill patternType="solid">
        <fgColor rgb="FFFEE2D5"/>
      </patternFill>
    </fill>
    <fill>
      <patternFill patternType="solid">
        <fgColor rgb="FFDCFCE7"/>
      </patternFill>
    </fill>
    <fill>
      <patternFill patternType="solid">
        <fgColor rgb="FFFEE2E2"/>
      </patternFill>
    </fill>
    <fill>
      <patternFill patternType="solid">
        <fgColor rgb="FFCCFBF1"/>
      </patternFill>
    </fill>
    <fill>
      <patternFill patternType="solid">
        <fgColor rgb="FFFEF9C3"/>
      </patternFill>
    </fill>
    <fill>
      <patternFill patternType="solid">
        <fgColor rgb="FFFEF3C7"/>
      </patternFill>
    </fill>
    <fill>
      <patternFill patternType="solid">
        <fgColor rgb="FF2563A8"/>
      </patternFill>
    </fill>
    <fill>
      <patternFill patternType="solid">
        <fgColor rgb="FF166534"/>
      </patternFill>
    </fill>
    <fill>
      <patternFill patternType="solid">
        <fgColor rgb="FFC2410C"/>
      </patternFill>
    </fill>
    <fill>
      <patternFill patternType="solid">
        <fgColor rgb="FF854D0E"/>
      </patternFill>
    </fill>
    <fill>
      <patternFill patternType="solid">
        <fgColor rgb="FF991B1B"/>
      </patternFill>
    </fill>
    <fill>
      <patternFill patternType="solid">
        <fgColor rgb="FF6B7280"/>
      </patternFill>
    </fill>
    <fill>
      <patternFill patternType="solid">
        <fgColor rgb="FF5B21B6"/>
      </patternFill>
    </fill>
    <fill>
      <patternFill patternType="solid">
        <fgColor rgb="FF92400E"/>
      </patternFill>
    </fill>
  </fills>
  <borders count="16">
    <border>
      <left/>
      <right/>
      <top/>
      <bottom/>
      <diagonal/>
    </border>
    <border>
      <left style="thin">
        <color rgb="FFCDCDCD"/>
      </left>
      <right style="thin">
        <color rgb="FFCDCDCD"/>
      </right>
      <top style="thin">
        <color rgb="FFCDCDCD"/>
      </top>
      <bottom style="thin">
        <color rgb="FFCDCDCD"/>
      </bottom>
      <diagonal/>
    </border>
    <border>
      <left style="thin">
        <color rgb="FF2563A8"/>
      </left>
      <right style="thin">
        <color rgb="FF2563A8"/>
      </right>
      <top style="thin">
        <color rgb="FF2563A8"/>
      </top>
      <bottom style="thin">
        <color rgb="FF2563A8"/>
      </bottom>
      <diagonal/>
    </border>
    <border>
      <left style="thin">
        <color rgb="FFD4D4D4"/>
      </left>
      <right style="thin">
        <color rgb="FFD4D4D4"/>
      </right>
      <top style="thin">
        <color rgb="FFD4D4D4"/>
      </top>
      <bottom style="thin">
        <color rgb="FFD4D4D4"/>
      </bottom>
      <diagonal/>
    </border>
    <border>
      <left style="thin">
        <color rgb="FFEBEBEB"/>
      </left>
      <right style="thin">
        <color rgb="FFEBEBEB"/>
      </right>
      <top style="thin">
        <color rgb="FFEBEBEB"/>
      </top>
      <bottom style="thin">
        <color rgb="FFEBEBEB"/>
      </bottom>
      <diagonal/>
    </border>
    <border>
      <left style="thin">
        <color rgb="FF0D1B2A"/>
      </left>
      <right style="thin">
        <color rgb="FF0D1B2A"/>
      </right>
      <top style="thin">
        <color rgb="FF0D1B2A"/>
      </top>
      <bottom style="thin">
        <color rgb="FF0D1B2A"/>
      </bottom>
      <diagonal/>
    </border>
    <border>
      <left style="thin">
        <color rgb="FF1B3A5C"/>
      </left>
      <right style="thin">
        <color rgb="FF1B3A5C"/>
      </right>
      <top style="thin">
        <color rgb="FF1B3A5C"/>
      </top>
      <bottom style="thin">
        <color rgb="FF1B3A5C"/>
      </bottom>
      <diagonal/>
    </border>
    <border>
      <left style="thin">
        <color rgb="FF166534"/>
      </left>
      <right style="thin">
        <color rgb="FF166534"/>
      </right>
      <top style="thin">
        <color rgb="FF166534"/>
      </top>
      <bottom style="thin">
        <color rgb="FF166534"/>
      </bottom>
      <diagonal/>
    </border>
    <border>
      <left style="thin">
        <color rgb="FFC2410C"/>
      </left>
      <right style="thin">
        <color rgb="FFC2410C"/>
      </right>
      <top style="thin">
        <color rgb="FFC2410C"/>
      </top>
      <bottom style="thin">
        <color rgb="FFC2410C"/>
      </bottom>
      <diagonal/>
    </border>
    <border>
      <left style="thin">
        <color rgb="FF854D0E"/>
      </left>
      <right style="thin">
        <color rgb="FF854D0E"/>
      </right>
      <top style="thin">
        <color rgb="FF854D0E"/>
      </top>
      <bottom style="thin">
        <color rgb="FF854D0E"/>
      </bottom>
      <diagonal/>
    </border>
    <border>
      <left style="thin">
        <color rgb="FF991B1B"/>
      </left>
      <right style="thin">
        <color rgb="FF991B1B"/>
      </right>
      <top style="thin">
        <color rgb="FF991B1B"/>
      </top>
      <bottom style="thin">
        <color rgb="FF991B1B"/>
      </bottom>
      <diagonal/>
    </border>
    <border>
      <left style="thin">
        <color rgb="FF6B7280"/>
      </left>
      <right style="thin">
        <color rgb="FF6B7280"/>
      </right>
      <top style="thin">
        <color rgb="FF6B7280"/>
      </top>
      <bottom style="thin">
        <color rgb="FF6B7280"/>
      </bottom>
      <diagonal/>
    </border>
    <border>
      <left style="thin">
        <color rgb="FF0F766E"/>
      </left>
      <right style="thin">
        <color rgb="FF0F766E"/>
      </right>
      <top style="thin">
        <color rgb="FF0F766E"/>
      </top>
      <bottom style="thin">
        <color rgb="FF0F766E"/>
      </bottom>
      <diagonal/>
    </border>
    <border>
      <left style="thin">
        <color rgb="FF5B21B6"/>
      </left>
      <right style="thin">
        <color rgb="FF5B21B6"/>
      </right>
      <top style="thin">
        <color rgb="FF5B21B6"/>
      </top>
      <bottom style="thin">
        <color rgb="FF5B21B6"/>
      </bottom>
      <diagonal/>
    </border>
    <border>
      <left/>
      <right style="thin">
        <color rgb="FFCDCDCD"/>
      </right>
      <top style="thin">
        <color rgb="FFCDCDCD"/>
      </top>
      <bottom style="thin">
        <color rgb="FFCDCDCD"/>
      </bottom>
      <diagonal/>
    </border>
    <border>
      <left style="thin">
        <color rgb="FF92400E"/>
      </left>
      <right style="thin">
        <color rgb="FF92400E"/>
      </right>
      <top style="thin">
        <color rgb="FF92400E"/>
      </top>
      <bottom style="thin">
        <color rgb="FF92400E"/>
      </bottom>
      <diagonal/>
    </border>
  </borders>
  <cellStyleXfs count="1">
    <xf numFmtId="0" fontId="0" fillId="0" borderId="0"/>
  </cellStyleXfs>
  <cellXfs count="145">
    <xf numFmtId="0" fontId="0" fillId="0" borderId="0" xfId="0"/>
    <xf numFmtId="0" fontId="2" fillId="3" borderId="1" xfId="0" applyFont="1" applyFill="1" applyBorder="1" applyAlignment="1">
      <alignment horizontal="left" vertical="center" indent="1"/>
    </xf>
    <xf numFmtId="0" fontId="2" fillId="3" borderId="1" xfId="0" applyFont="1" applyFill="1" applyBorder="1" applyAlignment="1">
      <alignment horizontal="center" vertical="center"/>
    </xf>
    <xf numFmtId="0" fontId="3" fillId="4" borderId="1" xfId="0" applyFont="1" applyFill="1" applyBorder="1" applyAlignment="1">
      <alignment horizontal="left" vertical="center"/>
    </xf>
    <xf numFmtId="0" fontId="4" fillId="4" borderId="1" xfId="0" applyFont="1" applyFill="1" applyBorder="1" applyAlignment="1">
      <alignment horizontal="left" vertical="center" indent="1"/>
    </xf>
    <xf numFmtId="0" fontId="5" fillId="6" borderId="1" xfId="0" applyFont="1" applyFill="1" applyBorder="1" applyAlignment="1">
      <alignment horizontal="center" vertical="center"/>
    </xf>
    <xf numFmtId="0" fontId="3" fillId="5" borderId="1" xfId="0" applyFont="1" applyFill="1" applyBorder="1" applyAlignment="1">
      <alignment horizontal="left" vertical="center"/>
    </xf>
    <xf numFmtId="0" fontId="4" fillId="5" borderId="1" xfId="0" applyFont="1" applyFill="1" applyBorder="1" applyAlignment="1">
      <alignment horizontal="left" vertical="center" indent="1"/>
    </xf>
    <xf numFmtId="0" fontId="2" fillId="3" borderId="2" xfId="0" applyFont="1" applyFill="1" applyBorder="1" applyAlignment="1">
      <alignment horizontal="center" vertical="center" wrapText="1"/>
    </xf>
    <xf numFmtId="0" fontId="2" fillId="7" borderId="2" xfId="0" applyFont="1" applyFill="1" applyBorder="1" applyAlignment="1">
      <alignment horizontal="center" vertical="center" wrapText="1"/>
    </xf>
    <xf numFmtId="0" fontId="7" fillId="8" borderId="3" xfId="0" applyFont="1" applyFill="1" applyBorder="1" applyAlignment="1">
      <alignment horizontal="center" vertical="center"/>
    </xf>
    <xf numFmtId="0" fontId="5" fillId="4" borderId="3" xfId="0" applyFont="1" applyFill="1" applyBorder="1" applyAlignment="1">
      <alignment horizontal="center" vertical="center"/>
    </xf>
    <xf numFmtId="0" fontId="4" fillId="9" borderId="3" xfId="0" applyFont="1" applyFill="1" applyBorder="1" applyAlignment="1">
      <alignment horizontal="left" vertical="center" wrapText="1"/>
    </xf>
    <xf numFmtId="0" fontId="3" fillId="9" borderId="3" xfId="0" applyFont="1" applyFill="1" applyBorder="1" applyAlignment="1">
      <alignment horizontal="left" vertical="center"/>
    </xf>
    <xf numFmtId="0" fontId="8" fillId="10" borderId="3" xfId="0" applyFont="1" applyFill="1" applyBorder="1" applyAlignment="1">
      <alignment horizontal="center" vertical="center"/>
    </xf>
    <xf numFmtId="0" fontId="9" fillId="11" borderId="3" xfId="0" applyFont="1" applyFill="1" applyBorder="1" applyAlignment="1">
      <alignment horizontal="center" vertical="center"/>
    </xf>
    <xf numFmtId="0" fontId="10" fillId="12" borderId="3" xfId="0" applyFont="1" applyFill="1" applyBorder="1" applyAlignment="1">
      <alignment horizontal="center" vertical="center"/>
    </xf>
    <xf numFmtId="0" fontId="3" fillId="9" borderId="3" xfId="0" applyFont="1" applyFill="1" applyBorder="1" applyAlignment="1">
      <alignment horizontal="center" vertical="center"/>
    </xf>
    <xf numFmtId="1" fontId="5" fillId="4" borderId="3" xfId="0" applyNumberFormat="1" applyFont="1" applyFill="1" applyBorder="1" applyAlignment="1">
      <alignment horizontal="center" vertical="center"/>
    </xf>
    <xf numFmtId="0" fontId="11" fillId="13" borderId="3" xfId="0" applyFont="1" applyFill="1" applyBorder="1" applyAlignment="1">
      <alignment horizontal="center" vertical="center"/>
    </xf>
    <xf numFmtId="164" fontId="5" fillId="4" borderId="3" xfId="0" applyNumberFormat="1" applyFont="1" applyFill="1" applyBorder="1" applyAlignment="1">
      <alignment horizontal="right" vertical="center"/>
    </xf>
    <xf numFmtId="0" fontId="3" fillId="9" borderId="3" xfId="0" applyFont="1" applyFill="1" applyBorder="1" applyAlignment="1">
      <alignment horizontal="left" vertical="center" wrapText="1"/>
    </xf>
    <xf numFmtId="0" fontId="12" fillId="14" borderId="3" xfId="0" applyFont="1" applyFill="1" applyBorder="1" applyAlignment="1">
      <alignment horizontal="left" vertical="center" indent="1"/>
    </xf>
    <xf numFmtId="0" fontId="4" fillId="5" borderId="3" xfId="0" applyFont="1" applyFill="1" applyBorder="1" applyAlignment="1">
      <alignment horizontal="left" vertical="center" wrapText="1"/>
    </xf>
    <xf numFmtId="0" fontId="3" fillId="5" borderId="3" xfId="0" applyFont="1" applyFill="1" applyBorder="1" applyAlignment="1">
      <alignment horizontal="left" vertical="center"/>
    </xf>
    <xf numFmtId="0" fontId="3" fillId="5" borderId="3" xfId="0" applyFont="1" applyFill="1" applyBorder="1" applyAlignment="1">
      <alignment horizontal="center" vertical="center"/>
    </xf>
    <xf numFmtId="0" fontId="3" fillId="5" borderId="3" xfId="0" applyFont="1" applyFill="1" applyBorder="1" applyAlignment="1">
      <alignment horizontal="left" vertical="center" wrapText="1"/>
    </xf>
    <xf numFmtId="0" fontId="13" fillId="15" borderId="3" xfId="0" applyFont="1" applyFill="1" applyBorder="1" applyAlignment="1">
      <alignment horizontal="center" vertical="center"/>
    </xf>
    <xf numFmtId="0" fontId="14" fillId="14" borderId="3" xfId="0" applyFont="1" applyFill="1" applyBorder="1" applyAlignment="1">
      <alignment horizontal="center" vertical="center"/>
    </xf>
    <xf numFmtId="0" fontId="15" fillId="16" borderId="3" xfId="0" applyFont="1" applyFill="1" applyBorder="1" applyAlignment="1">
      <alignment horizontal="center" vertical="center"/>
    </xf>
    <xf numFmtId="0" fontId="16" fillId="8" borderId="3" xfId="0" applyFont="1" applyFill="1" applyBorder="1" applyAlignment="1">
      <alignment horizontal="center" vertical="center"/>
    </xf>
    <xf numFmtId="0" fontId="17" fillId="8" borderId="1" xfId="0" applyFont="1" applyFill="1" applyBorder="1" applyAlignment="1">
      <alignment horizontal="center" vertical="center"/>
    </xf>
    <xf numFmtId="0" fontId="0" fillId="9" borderId="4" xfId="0" applyFill="1" applyBorder="1" applyAlignment="1">
      <alignment horizontal="left" vertical="center"/>
    </xf>
    <xf numFmtId="0" fontId="0" fillId="14" borderId="4" xfId="0" applyFill="1" applyBorder="1" applyAlignment="1">
      <alignment horizontal="left" vertical="center"/>
    </xf>
    <xf numFmtId="0" fontId="0" fillId="5" borderId="4" xfId="0" applyFill="1" applyBorder="1" applyAlignment="1">
      <alignment horizontal="left" vertical="center"/>
    </xf>
    <xf numFmtId="164" fontId="19" fillId="6" borderId="1" xfId="0" applyNumberFormat="1" applyFont="1" applyFill="1" applyBorder="1" applyAlignment="1">
      <alignment horizontal="center" vertical="center"/>
    </xf>
    <xf numFmtId="0" fontId="2" fillId="23" borderId="1" xfId="0" applyFont="1" applyFill="1" applyBorder="1" applyAlignment="1">
      <alignment horizontal="center" vertical="center"/>
    </xf>
    <xf numFmtId="0" fontId="8" fillId="10" borderId="1" xfId="0" applyFont="1" applyFill="1" applyBorder="1" applyAlignment="1">
      <alignment horizontal="left" vertical="center"/>
    </xf>
    <xf numFmtId="0" fontId="38" fillId="10" borderId="1" xfId="0" applyFont="1" applyFill="1" applyBorder="1" applyAlignment="1">
      <alignment horizontal="center" vertical="center"/>
    </xf>
    <xf numFmtId="164" fontId="38" fillId="10" borderId="1" xfId="0" applyNumberFormat="1" applyFont="1" applyFill="1" applyBorder="1" applyAlignment="1">
      <alignment horizontal="center" vertical="center"/>
    </xf>
    <xf numFmtId="165" fontId="38" fillId="10" borderId="1" xfId="0" applyNumberFormat="1" applyFont="1" applyFill="1" applyBorder="1" applyAlignment="1">
      <alignment horizontal="center" vertical="center"/>
    </xf>
    <xf numFmtId="0" fontId="14" fillId="14" borderId="1" xfId="0" applyFont="1" applyFill="1" applyBorder="1" applyAlignment="1">
      <alignment horizontal="left" vertical="center"/>
    </xf>
    <xf numFmtId="0" fontId="39" fillId="14" borderId="1" xfId="0" applyFont="1" applyFill="1" applyBorder="1" applyAlignment="1">
      <alignment horizontal="center" vertical="center"/>
    </xf>
    <xf numFmtId="164" fontId="39" fillId="14" borderId="1" xfId="0" applyNumberFormat="1" applyFont="1" applyFill="1" applyBorder="1" applyAlignment="1">
      <alignment horizontal="center" vertical="center"/>
    </xf>
    <xf numFmtId="165" fontId="39" fillId="14" borderId="1" xfId="0" applyNumberFormat="1" applyFont="1" applyFill="1" applyBorder="1" applyAlignment="1">
      <alignment horizontal="center" vertical="center"/>
    </xf>
    <xf numFmtId="0" fontId="15" fillId="16" borderId="1" xfId="0" applyFont="1" applyFill="1" applyBorder="1" applyAlignment="1">
      <alignment horizontal="left" vertical="center"/>
    </xf>
    <xf numFmtId="0" fontId="40" fillId="16" borderId="1" xfId="0" applyFont="1" applyFill="1" applyBorder="1" applyAlignment="1">
      <alignment horizontal="center" vertical="center"/>
    </xf>
    <xf numFmtId="164" fontId="40" fillId="16" borderId="1" xfId="0" applyNumberFormat="1" applyFont="1" applyFill="1" applyBorder="1" applyAlignment="1">
      <alignment horizontal="center" vertical="center"/>
    </xf>
    <xf numFmtId="165" fontId="40" fillId="16" borderId="1" xfId="0" applyNumberFormat="1" applyFont="1" applyFill="1" applyBorder="1" applyAlignment="1">
      <alignment horizontal="center" vertical="center"/>
    </xf>
    <xf numFmtId="0" fontId="10" fillId="12" borderId="1" xfId="0" applyFont="1" applyFill="1" applyBorder="1" applyAlignment="1">
      <alignment horizontal="left" vertical="center"/>
    </xf>
    <xf numFmtId="0" fontId="41" fillId="12" borderId="1" xfId="0" applyFont="1" applyFill="1" applyBorder="1" applyAlignment="1">
      <alignment horizontal="center" vertical="center"/>
    </xf>
    <xf numFmtId="164" fontId="41" fillId="12" borderId="1" xfId="0" applyNumberFormat="1" applyFont="1" applyFill="1" applyBorder="1" applyAlignment="1">
      <alignment horizontal="center" vertical="center"/>
    </xf>
    <xf numFmtId="165" fontId="41" fillId="12" borderId="1" xfId="0" applyNumberFormat="1" applyFont="1" applyFill="1" applyBorder="1" applyAlignment="1">
      <alignment horizontal="center" vertical="center"/>
    </xf>
    <xf numFmtId="0" fontId="4" fillId="9" borderId="1" xfId="0" applyFont="1" applyFill="1" applyBorder="1" applyAlignment="1">
      <alignment horizontal="left" vertical="center"/>
    </xf>
    <xf numFmtId="0" fontId="3" fillId="9" borderId="1" xfId="0" applyFont="1" applyFill="1" applyBorder="1" applyAlignment="1">
      <alignment horizontal="center" vertical="center"/>
    </xf>
    <xf numFmtId="3" fontId="3" fillId="9" borderId="1" xfId="0" applyNumberFormat="1" applyFont="1" applyFill="1" applyBorder="1" applyAlignment="1">
      <alignment horizontal="center" vertical="center"/>
    </xf>
    <xf numFmtId="0" fontId="4" fillId="5" borderId="1" xfId="0" applyFont="1" applyFill="1" applyBorder="1" applyAlignment="1">
      <alignment horizontal="left" vertical="center"/>
    </xf>
    <xf numFmtId="0" fontId="3" fillId="5" borderId="1" xfId="0" applyFont="1" applyFill="1" applyBorder="1" applyAlignment="1">
      <alignment horizontal="center" vertical="center"/>
    </xf>
    <xf numFmtId="3" fontId="3" fillId="5" borderId="1" xfId="0" applyNumberFormat="1" applyFont="1" applyFill="1" applyBorder="1" applyAlignment="1">
      <alignment horizontal="center" vertical="center"/>
    </xf>
    <xf numFmtId="0" fontId="3" fillId="9" borderId="1" xfId="0" applyFont="1" applyFill="1" applyBorder="1" applyAlignment="1">
      <alignment horizontal="left" vertical="center"/>
    </xf>
    <xf numFmtId="0" fontId="0" fillId="8" borderId="1" xfId="0" applyFill="1" applyBorder="1" applyAlignment="1">
      <alignment horizontal="center" vertical="center"/>
    </xf>
    <xf numFmtId="0" fontId="0" fillId="9" borderId="4" xfId="0" applyFill="1" applyBorder="1"/>
    <xf numFmtId="0" fontId="0" fillId="5" borderId="4" xfId="0" applyFill="1" applyBorder="1"/>
    <xf numFmtId="0" fontId="2" fillId="2" borderId="1" xfId="0" applyFont="1" applyFill="1" applyBorder="1" applyAlignment="1">
      <alignment horizontal="center" vertical="center"/>
    </xf>
    <xf numFmtId="0" fontId="2" fillId="2" borderId="1" xfId="0" applyFont="1" applyFill="1" applyBorder="1" applyAlignment="1">
      <alignment horizontal="left" vertical="center"/>
    </xf>
    <xf numFmtId="0" fontId="2" fillId="23" borderId="13" xfId="0" applyFont="1" applyFill="1" applyBorder="1" applyAlignment="1">
      <alignment horizontal="center" vertical="center"/>
    </xf>
    <xf numFmtId="0" fontId="2" fillId="7" borderId="12" xfId="0" applyFont="1" applyFill="1" applyBorder="1" applyAlignment="1">
      <alignment horizontal="center" vertical="center"/>
    </xf>
    <xf numFmtId="0" fontId="2" fillId="24" borderId="15" xfId="0" applyFont="1" applyFill="1" applyBorder="1" applyAlignment="1">
      <alignment horizontal="center" vertical="center"/>
    </xf>
    <xf numFmtId="0" fontId="2" fillId="18" borderId="7" xfId="0" applyFont="1" applyFill="1" applyBorder="1" applyAlignment="1">
      <alignment horizontal="center" vertical="center"/>
    </xf>
    <xf numFmtId="0" fontId="7" fillId="8" borderId="1" xfId="0" applyFont="1" applyFill="1" applyBorder="1" applyAlignment="1">
      <alignment horizontal="center" vertical="center"/>
    </xf>
    <xf numFmtId="0" fontId="4" fillId="9" borderId="1" xfId="0" applyFont="1" applyFill="1" applyBorder="1" applyAlignment="1">
      <alignment horizontal="left" vertical="center" indent="1"/>
    </xf>
    <xf numFmtId="0" fontId="55" fillId="9" borderId="1" xfId="0" applyFont="1" applyFill="1" applyBorder="1" applyAlignment="1">
      <alignment horizontal="left" vertical="center" indent="1"/>
    </xf>
    <xf numFmtId="0" fontId="56" fillId="15" borderId="4" xfId="0" applyFont="1" applyFill="1" applyBorder="1" applyAlignment="1">
      <alignment horizontal="center" vertical="center"/>
    </xf>
    <xf numFmtId="0" fontId="55" fillId="5" borderId="1" xfId="0" applyFont="1" applyFill="1" applyBorder="1" applyAlignment="1">
      <alignment horizontal="left" vertical="center" indent="1"/>
    </xf>
    <xf numFmtId="0" fontId="17" fillId="8" borderId="4" xfId="0" applyFont="1" applyFill="1" applyBorder="1" applyAlignment="1">
      <alignment horizontal="center" vertical="center"/>
    </xf>
    <xf numFmtId="0" fontId="10" fillId="12" borderId="1" xfId="0" applyFont="1" applyFill="1" applyBorder="1" applyAlignment="1">
      <alignment horizontal="center" vertical="center"/>
    </xf>
    <xf numFmtId="0" fontId="4" fillId="9" borderId="1" xfId="0" applyFont="1" applyFill="1" applyBorder="1" applyAlignment="1">
      <alignment horizontal="center" vertical="center"/>
    </xf>
    <xf numFmtId="164" fontId="3" fillId="9" borderId="1" xfId="0" applyNumberFormat="1" applyFont="1" applyFill="1" applyBorder="1" applyAlignment="1">
      <alignment horizontal="center" vertical="center"/>
    </xf>
    <xf numFmtId="0" fontId="4" fillId="5" borderId="1" xfId="0" applyFont="1" applyFill="1" applyBorder="1" applyAlignment="1">
      <alignment horizontal="center" vertical="center"/>
    </xf>
    <xf numFmtId="164" fontId="3" fillId="5" borderId="1" xfId="0" applyNumberFormat="1" applyFont="1" applyFill="1" applyBorder="1" applyAlignment="1">
      <alignment horizontal="center" vertical="center"/>
    </xf>
    <xf numFmtId="0" fontId="57" fillId="6" borderId="1" xfId="0" applyFont="1" applyFill="1" applyBorder="1" applyAlignment="1">
      <alignment horizontal="center" vertical="center"/>
    </xf>
    <xf numFmtId="0" fontId="0" fillId="6" borderId="1" xfId="0" applyFill="1" applyBorder="1"/>
    <xf numFmtId="164" fontId="57" fillId="6" borderId="1" xfId="0" applyNumberFormat="1" applyFont="1" applyFill="1" applyBorder="1" applyAlignment="1">
      <alignment horizontal="center" vertical="center"/>
    </xf>
    <xf numFmtId="0" fontId="6" fillId="2" borderId="0" xfId="0" applyFont="1" applyFill="1" applyAlignment="1">
      <alignment horizontal="center" vertical="center"/>
    </xf>
    <xf numFmtId="0" fontId="0" fillId="0" borderId="0" xfId="0"/>
    <xf numFmtId="0" fontId="0" fillId="8" borderId="1" xfId="0" applyFill="1" applyBorder="1"/>
    <xf numFmtId="0" fontId="18" fillId="2" borderId="5" xfId="0" applyFont="1" applyFill="1" applyBorder="1" applyAlignment="1">
      <alignment horizontal="right" vertical="center"/>
    </xf>
    <xf numFmtId="0" fontId="0" fillId="3" borderId="0" xfId="0" applyFill="1"/>
    <xf numFmtId="0" fontId="1" fillId="2" borderId="0" xfId="0" applyFont="1" applyFill="1" applyAlignment="1">
      <alignment horizontal="center" vertical="center"/>
    </xf>
    <xf numFmtId="0" fontId="32" fillId="8" borderId="1" xfId="0" applyFont="1" applyFill="1" applyBorder="1" applyAlignment="1">
      <alignment horizontal="left" vertical="center" indent="1"/>
    </xf>
    <xf numFmtId="0" fontId="2" fillId="20" borderId="9" xfId="0" applyFont="1" applyFill="1" applyBorder="1" applyAlignment="1">
      <alignment horizontal="center" vertical="center" wrapText="1"/>
    </xf>
    <xf numFmtId="0" fontId="33" fillId="8" borderId="1" xfId="0" applyFont="1" applyFill="1" applyBorder="1" applyAlignment="1">
      <alignment horizontal="center" vertical="center"/>
    </xf>
    <xf numFmtId="0" fontId="28" fillId="15" borderId="1" xfId="0" applyFont="1" applyFill="1" applyBorder="1" applyAlignment="1">
      <alignment horizontal="left" vertical="center" indent="1"/>
    </xf>
    <xf numFmtId="0" fontId="29" fillId="15" borderId="1" xfId="0" applyFont="1" applyFill="1" applyBorder="1" applyAlignment="1">
      <alignment horizontal="center" vertical="center"/>
    </xf>
    <xf numFmtId="0" fontId="36" fillId="13" borderId="1" xfId="0" applyFont="1" applyFill="1" applyBorder="1" applyAlignment="1">
      <alignment horizontal="left" vertical="center" indent="1"/>
    </xf>
    <xf numFmtId="0" fontId="21" fillId="7" borderId="12" xfId="0" applyFont="1" applyFill="1" applyBorder="1" applyAlignment="1">
      <alignment horizontal="left" vertical="center"/>
    </xf>
    <xf numFmtId="0" fontId="25" fillId="15" borderId="9" xfId="0" applyFont="1" applyFill="1" applyBorder="1" applyAlignment="1">
      <alignment horizontal="center" vertical="center"/>
    </xf>
    <xf numFmtId="0" fontId="5" fillId="4" borderId="1" xfId="0" applyFont="1" applyFill="1" applyBorder="1" applyAlignment="1">
      <alignment horizontal="left" vertical="center" indent="1"/>
    </xf>
    <xf numFmtId="0" fontId="2" fillId="17" borderId="2" xfId="0" applyFont="1" applyFill="1" applyBorder="1" applyAlignment="1">
      <alignment horizontal="center" vertical="center" wrapText="1"/>
    </xf>
    <xf numFmtId="0" fontId="26" fillId="13" borderId="10" xfId="0" applyFont="1" applyFill="1" applyBorder="1" applyAlignment="1">
      <alignment horizontal="center" vertical="center"/>
    </xf>
    <xf numFmtId="0" fontId="34" fillId="12" borderId="1" xfId="0" applyFont="1" applyFill="1" applyBorder="1" applyAlignment="1">
      <alignment horizontal="left" vertical="center" indent="1"/>
    </xf>
    <xf numFmtId="0" fontId="2" fillId="18" borderId="7" xfId="0" applyFont="1" applyFill="1" applyBorder="1" applyAlignment="1">
      <alignment horizontal="center" vertical="center" wrapText="1"/>
    </xf>
    <xf numFmtId="0" fontId="30" fillId="11" borderId="1" xfId="0" applyFont="1" applyFill="1" applyBorder="1" applyAlignment="1">
      <alignment horizontal="left" vertical="center" indent="1"/>
    </xf>
    <xf numFmtId="0" fontId="10" fillId="4" borderId="1" xfId="0" applyFont="1" applyFill="1" applyBorder="1" applyAlignment="1">
      <alignment horizontal="left" vertical="center" indent="1"/>
    </xf>
    <xf numFmtId="0" fontId="21" fillId="23" borderId="13" xfId="0" applyFont="1" applyFill="1" applyBorder="1" applyAlignment="1">
      <alignment horizontal="left" vertical="center"/>
    </xf>
    <xf numFmtId="165" fontId="37" fillId="4" borderId="1" xfId="0" applyNumberFormat="1" applyFont="1" applyFill="1" applyBorder="1" applyAlignment="1">
      <alignment horizontal="center" vertical="center"/>
    </xf>
    <xf numFmtId="0" fontId="37" fillId="13" borderId="1" xfId="0" applyFont="1" applyFill="1" applyBorder="1" applyAlignment="1">
      <alignment horizontal="center" vertical="center"/>
    </xf>
    <xf numFmtId="0" fontId="44" fillId="4" borderId="1" xfId="0" applyFont="1" applyFill="1" applyBorder="1" applyAlignment="1">
      <alignment horizontal="left" vertical="center"/>
    </xf>
    <xf numFmtId="0" fontId="0" fillId="0" borderId="14" xfId="0" applyBorder="1"/>
    <xf numFmtId="0" fontId="42" fillId="4" borderId="1" xfId="0" applyFont="1" applyFill="1" applyBorder="1" applyAlignment="1">
      <alignment horizontal="left" vertical="center" indent="1"/>
    </xf>
    <xf numFmtId="165" fontId="35" fillId="4" borderId="1" xfId="0" applyNumberFormat="1" applyFont="1" applyFill="1" applyBorder="1" applyAlignment="1">
      <alignment horizontal="center" vertical="center"/>
    </xf>
    <xf numFmtId="164" fontId="46" fillId="4" borderId="1" xfId="0" applyNumberFormat="1" applyFont="1" applyFill="1" applyBorder="1" applyAlignment="1">
      <alignment horizontal="right" vertical="center"/>
    </xf>
    <xf numFmtId="0" fontId="11" fillId="4" borderId="1" xfId="0" applyFont="1" applyFill="1" applyBorder="1" applyAlignment="1">
      <alignment horizontal="left" vertical="center" indent="1"/>
    </xf>
    <xf numFmtId="0" fontId="21" fillId="2" borderId="5" xfId="0" applyFont="1" applyFill="1" applyBorder="1" applyAlignment="1">
      <alignment horizontal="left" vertical="center"/>
    </xf>
    <xf numFmtId="165" fontId="43" fillId="4" borderId="1" xfId="0" applyNumberFormat="1" applyFont="1" applyFill="1" applyBorder="1" applyAlignment="1">
      <alignment horizontal="center" vertical="center"/>
    </xf>
    <xf numFmtId="164" fontId="19" fillId="4" borderId="1" xfId="0" applyNumberFormat="1" applyFont="1" applyFill="1" applyBorder="1" applyAlignment="1">
      <alignment horizontal="right" vertical="center"/>
    </xf>
    <xf numFmtId="0" fontId="21" fillId="17" borderId="2" xfId="0" applyFont="1" applyFill="1" applyBorder="1" applyAlignment="1">
      <alignment horizontal="left" vertical="center"/>
    </xf>
    <xf numFmtId="0" fontId="2" fillId="21" borderId="10" xfId="0" applyFont="1" applyFill="1" applyBorder="1" applyAlignment="1">
      <alignment horizontal="center" vertical="center" wrapText="1"/>
    </xf>
    <xf numFmtId="0" fontId="16" fillId="4" borderId="1" xfId="0" applyFont="1" applyFill="1" applyBorder="1" applyAlignment="1">
      <alignment horizontal="left" vertical="center" indent="1"/>
    </xf>
    <xf numFmtId="164" fontId="49" fillId="4" borderId="1" xfId="0" applyNumberFormat="1" applyFont="1" applyFill="1" applyBorder="1" applyAlignment="1">
      <alignment horizontal="right" vertical="center"/>
    </xf>
    <xf numFmtId="0" fontId="9" fillId="4" borderId="1" xfId="0" applyFont="1" applyFill="1" applyBorder="1" applyAlignment="1">
      <alignment horizontal="left" vertical="center" indent="1"/>
    </xf>
    <xf numFmtId="0" fontId="23" fillId="12" borderId="7" xfId="0" applyFont="1" applyFill="1" applyBorder="1" applyAlignment="1">
      <alignment horizontal="center" vertical="center"/>
    </xf>
    <xf numFmtId="0" fontId="24" fillId="11" borderId="8" xfId="0" applyFont="1" applyFill="1" applyBorder="1" applyAlignment="1">
      <alignment horizontal="center" vertical="center"/>
    </xf>
    <xf numFmtId="0" fontId="31" fillId="11" borderId="1" xfId="0" applyFont="1" applyFill="1" applyBorder="1" applyAlignment="1">
      <alignment horizontal="center" vertical="center"/>
    </xf>
    <xf numFmtId="0" fontId="20" fillId="2" borderId="0" xfId="0" applyFont="1" applyFill="1" applyAlignment="1">
      <alignment horizontal="center" vertical="center"/>
    </xf>
    <xf numFmtId="0" fontId="14" fillId="4" borderId="1" xfId="0" applyFont="1" applyFill="1" applyBorder="1" applyAlignment="1">
      <alignment horizontal="left" vertical="center" indent="1"/>
    </xf>
    <xf numFmtId="164" fontId="48" fillId="4" borderId="1" xfId="0" applyNumberFormat="1" applyFont="1" applyFill="1" applyBorder="1" applyAlignment="1">
      <alignment horizontal="right" vertical="center"/>
    </xf>
    <xf numFmtId="166" fontId="31" fillId="4" borderId="1" xfId="0" applyNumberFormat="1" applyFont="1" applyFill="1" applyBorder="1" applyAlignment="1">
      <alignment horizontal="center" vertical="center"/>
    </xf>
    <xf numFmtId="0" fontId="35" fillId="12" borderId="1" xfId="0" applyFont="1" applyFill="1" applyBorder="1" applyAlignment="1">
      <alignment horizontal="center" vertical="center"/>
    </xf>
    <xf numFmtId="0" fontId="27" fillId="8" borderId="11" xfId="0" applyFont="1" applyFill="1" applyBorder="1" applyAlignment="1">
      <alignment horizontal="center" vertical="center"/>
    </xf>
    <xf numFmtId="164" fontId="47" fillId="4" borderId="1" xfId="0" applyNumberFormat="1" applyFont="1" applyFill="1" applyBorder="1" applyAlignment="1">
      <alignment horizontal="right" vertical="center"/>
    </xf>
    <xf numFmtId="0" fontId="2" fillId="19" borderId="8" xfId="0" applyFont="1" applyFill="1" applyBorder="1" applyAlignment="1">
      <alignment horizontal="center" vertical="center" wrapText="1"/>
    </xf>
    <xf numFmtId="166" fontId="45" fillId="4" borderId="1" xfId="0" applyNumberFormat="1" applyFont="1" applyFill="1" applyBorder="1" applyAlignment="1">
      <alignment horizontal="center" vertical="center"/>
    </xf>
    <xf numFmtId="0" fontId="21" fillId="3" borderId="6" xfId="0" applyFont="1" applyFill="1" applyBorder="1" applyAlignment="1">
      <alignment horizontal="left" vertical="center"/>
    </xf>
    <xf numFmtId="0" fontId="22" fillId="4" borderId="2" xfId="0" applyFont="1" applyFill="1" applyBorder="1" applyAlignment="1">
      <alignment horizontal="center" vertical="center"/>
    </xf>
    <xf numFmtId="0" fontId="2" fillId="22" borderId="11" xfId="0" applyFont="1" applyFill="1" applyBorder="1" applyAlignment="1">
      <alignment horizontal="center" vertical="center" wrapText="1"/>
    </xf>
    <xf numFmtId="0" fontId="50" fillId="2" borderId="0" xfId="0" applyFont="1" applyFill="1" applyAlignment="1">
      <alignment horizontal="center" vertical="center"/>
    </xf>
    <xf numFmtId="0" fontId="53" fillId="16" borderId="0" xfId="0" applyFont="1" applyFill="1" applyAlignment="1">
      <alignment horizontal="center" vertical="center"/>
    </xf>
    <xf numFmtId="0" fontId="54" fillId="12" borderId="0" xfId="0" applyFont="1" applyFill="1" applyAlignment="1">
      <alignment horizontal="center" vertical="center"/>
    </xf>
    <xf numFmtId="0" fontId="2" fillId="2" borderId="1" xfId="0" applyFont="1" applyFill="1" applyBorder="1" applyAlignment="1">
      <alignment horizontal="left" vertical="center" indent="1"/>
    </xf>
    <xf numFmtId="0" fontId="52" fillId="14" borderId="0" xfId="0" applyFont="1" applyFill="1" applyAlignment="1">
      <alignment horizontal="center" vertical="center"/>
    </xf>
    <xf numFmtId="0" fontId="51" fillId="10" borderId="0" xfId="0" applyFont="1" applyFill="1" applyAlignment="1">
      <alignment horizontal="center" vertical="center"/>
    </xf>
    <xf numFmtId="0" fontId="18" fillId="2" borderId="5" xfId="0" applyFont="1" applyFill="1" applyBorder="1" applyAlignment="1">
      <alignment horizontal="center" vertical="center"/>
    </xf>
    <xf numFmtId="0" fontId="3" fillId="4" borderId="1" xfId="0" applyFont="1" applyFill="1" applyBorder="1" applyAlignment="1">
      <alignment horizontal="left" vertical="top" wrapText="1"/>
    </xf>
    <xf numFmtId="0" fontId="21" fillId="3" borderId="1" xfId="0" applyFont="1" applyFill="1" applyBorder="1" applyAlignment="1">
      <alignment horizontal="left" vertical="center"/>
    </xf>
  </cellXfs>
  <cellStyles count="1">
    <cellStyle name="Normal" xfId="0" builtinId="0"/>
  </cellStyles>
  <dxfs count="3">
    <dxf>
      <fill>
        <patternFill patternType="solid">
          <fgColor rgb="FFFFF0F0"/>
        </patternFill>
      </fill>
    </dxf>
    <dxf>
      <fill>
        <patternFill patternType="solid">
          <fgColor rgb="FFFFF5F5"/>
        </patternFill>
      </fill>
    </dxf>
    <dxf>
      <fill>
        <patternFill patternType="solid">
          <fgColor rgb="FFF0FDF4"/>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2"/>
  <sheetViews>
    <sheetView zoomScale="90" workbookViewId="0">
      <selection sqref="A1:N1"/>
    </sheetView>
  </sheetViews>
  <sheetFormatPr defaultRowHeight="14.4" x14ac:dyDescent="0.3"/>
  <cols>
    <col min="1" max="1" width="26" customWidth="1"/>
    <col min="3" max="3" width="26" customWidth="1"/>
    <col min="5" max="5" width="26" customWidth="1"/>
    <col min="7" max="7" width="26" customWidth="1"/>
    <col min="9" max="9" width="26" customWidth="1"/>
    <col min="11" max="11" width="26" customWidth="1"/>
    <col min="13" max="13" width="28" customWidth="1"/>
    <col min="14" max="14" width="16" customWidth="1"/>
  </cols>
  <sheetData>
    <row r="1" spans="1:14" ht="36" customHeight="1" x14ac:dyDescent="0.3">
      <c r="A1" s="88" t="s">
        <v>0</v>
      </c>
      <c r="B1" s="84"/>
      <c r="C1" s="84"/>
      <c r="D1" s="84"/>
      <c r="E1" s="84"/>
      <c r="F1" s="84"/>
      <c r="G1" s="84"/>
      <c r="H1" s="84"/>
      <c r="I1" s="84"/>
      <c r="J1" s="84"/>
      <c r="K1" s="84"/>
      <c r="L1" s="84"/>
      <c r="M1" s="84"/>
      <c r="N1" s="84"/>
    </row>
    <row r="2" spans="1:14" ht="6.05" customHeight="1" x14ac:dyDescent="0.3"/>
    <row r="3" spans="1:14" ht="22.05" customHeight="1" x14ac:dyDescent="0.3">
      <c r="A3" s="1" t="s">
        <v>1</v>
      </c>
      <c r="C3" s="1" t="s">
        <v>2</v>
      </c>
      <c r="E3" s="1" t="s">
        <v>3</v>
      </c>
      <c r="G3" s="1" t="s">
        <v>4</v>
      </c>
      <c r="I3" s="1" t="s">
        <v>5</v>
      </c>
      <c r="K3" s="1" t="s">
        <v>6</v>
      </c>
      <c r="M3" s="1" t="s">
        <v>7</v>
      </c>
      <c r="N3" s="2" t="s">
        <v>8</v>
      </c>
    </row>
    <row r="4" spans="1:14" x14ac:dyDescent="0.3">
      <c r="A4" s="3" t="s">
        <v>9</v>
      </c>
      <c r="C4" s="3" t="s">
        <v>10</v>
      </c>
      <c r="E4" s="3" t="s">
        <v>11</v>
      </c>
      <c r="G4" s="3" t="s">
        <v>12</v>
      </c>
      <c r="I4" s="3" t="s">
        <v>13</v>
      </c>
      <c r="K4" s="3" t="s">
        <v>14</v>
      </c>
      <c r="M4" s="4" t="s">
        <v>15</v>
      </c>
      <c r="N4" s="5">
        <v>0.75</v>
      </c>
    </row>
    <row r="5" spans="1:14" x14ac:dyDescent="0.3">
      <c r="A5" s="6" t="s">
        <v>16</v>
      </c>
      <c r="C5" s="6" t="s">
        <v>17</v>
      </c>
      <c r="E5" s="6" t="s">
        <v>18</v>
      </c>
      <c r="G5" s="6" t="s">
        <v>19</v>
      </c>
      <c r="I5" s="6" t="s">
        <v>20</v>
      </c>
      <c r="K5" s="6" t="s">
        <v>21</v>
      </c>
      <c r="M5" s="7" t="s">
        <v>22</v>
      </c>
      <c r="N5" s="5">
        <v>5</v>
      </c>
    </row>
    <row r="6" spans="1:14" x14ac:dyDescent="0.3">
      <c r="A6" s="3" t="s">
        <v>23</v>
      </c>
      <c r="C6" s="3" t="s">
        <v>24</v>
      </c>
      <c r="E6" s="3" t="s">
        <v>25</v>
      </c>
      <c r="G6" s="3" t="s">
        <v>26</v>
      </c>
      <c r="I6" s="3" t="s">
        <v>27</v>
      </c>
      <c r="K6" s="3" t="s">
        <v>28</v>
      </c>
      <c r="M6" s="4" t="s">
        <v>29</v>
      </c>
      <c r="N6" s="5">
        <v>2</v>
      </c>
    </row>
    <row r="7" spans="1:14" x14ac:dyDescent="0.3">
      <c r="A7" s="6" t="s">
        <v>30</v>
      </c>
      <c r="C7" s="6" t="s">
        <v>31</v>
      </c>
      <c r="E7" s="6" t="s">
        <v>32</v>
      </c>
      <c r="G7" s="6" t="s">
        <v>33</v>
      </c>
      <c r="I7" s="6" t="s">
        <v>34</v>
      </c>
      <c r="K7" s="6" t="s">
        <v>35</v>
      </c>
      <c r="M7" s="7" t="s">
        <v>36</v>
      </c>
      <c r="N7" s="5">
        <v>500000</v>
      </c>
    </row>
    <row r="8" spans="1:14" x14ac:dyDescent="0.3">
      <c r="A8" s="3" t="s">
        <v>37</v>
      </c>
      <c r="E8" s="3" t="s">
        <v>38</v>
      </c>
      <c r="G8" s="3" t="s">
        <v>39</v>
      </c>
      <c r="K8" s="3" t="s">
        <v>40</v>
      </c>
      <c r="M8" s="4" t="s">
        <v>41</v>
      </c>
      <c r="N8" s="5">
        <v>0.85</v>
      </c>
    </row>
    <row r="9" spans="1:14" x14ac:dyDescent="0.3">
      <c r="E9" s="6" t="s">
        <v>42</v>
      </c>
      <c r="G9" s="6" t="s">
        <v>43</v>
      </c>
      <c r="K9" s="6" t="s">
        <v>44</v>
      </c>
    </row>
    <row r="10" spans="1:14" x14ac:dyDescent="0.3">
      <c r="E10" s="3" t="s">
        <v>45</v>
      </c>
      <c r="G10" s="3" t="s">
        <v>46</v>
      </c>
      <c r="K10" s="3" t="s">
        <v>47</v>
      </c>
    </row>
    <row r="11" spans="1:14" x14ac:dyDescent="0.3">
      <c r="E11" s="6" t="s">
        <v>48</v>
      </c>
      <c r="G11" s="6" t="s">
        <v>49</v>
      </c>
      <c r="K11" s="6" t="s">
        <v>50</v>
      </c>
    </row>
    <row r="12" spans="1:14" x14ac:dyDescent="0.3">
      <c r="E12" s="3" t="s">
        <v>51</v>
      </c>
      <c r="G12" s="3" t="s">
        <v>52</v>
      </c>
      <c r="K12" s="3" t="s">
        <v>53</v>
      </c>
    </row>
    <row r="13" spans="1:14" x14ac:dyDescent="0.3">
      <c r="E13" s="6" t="s">
        <v>54</v>
      </c>
      <c r="G13" s="6" t="s">
        <v>55</v>
      </c>
    </row>
    <row r="14" spans="1:14" x14ac:dyDescent="0.3">
      <c r="E14" s="3" t="s">
        <v>56</v>
      </c>
      <c r="G14" s="3" t="s">
        <v>57</v>
      </c>
    </row>
    <row r="15" spans="1:14" x14ac:dyDescent="0.3">
      <c r="E15" s="6" t="s">
        <v>58</v>
      </c>
      <c r="G15" s="6" t="s">
        <v>59</v>
      </c>
    </row>
    <row r="16" spans="1:14" x14ac:dyDescent="0.3">
      <c r="E16" s="3" t="s">
        <v>60</v>
      </c>
      <c r="G16" s="3" t="s">
        <v>61</v>
      </c>
    </row>
    <row r="17" spans="7:7" x14ac:dyDescent="0.3">
      <c r="G17" s="6" t="s">
        <v>62</v>
      </c>
    </row>
    <row r="18" spans="7:7" x14ac:dyDescent="0.3">
      <c r="G18" s="3" t="s">
        <v>63</v>
      </c>
    </row>
    <row r="19" spans="7:7" x14ac:dyDescent="0.3">
      <c r="G19" s="6" t="s">
        <v>64</v>
      </c>
    </row>
    <row r="20" spans="7:7" x14ac:dyDescent="0.3">
      <c r="G20" s="3" t="s">
        <v>65</v>
      </c>
    </row>
    <row r="21" spans="7:7" x14ac:dyDescent="0.3">
      <c r="G21" s="6" t="s">
        <v>66</v>
      </c>
    </row>
    <row r="22" spans="7:7" x14ac:dyDescent="0.3">
      <c r="G22" s="3" t="s">
        <v>60</v>
      </c>
    </row>
  </sheetData>
  <mergeCells count="1">
    <mergeCell ref="A1:N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05"/>
  <sheetViews>
    <sheetView tabSelected="1" zoomScale="82" workbookViewId="0">
      <pane xSplit="2" ySplit="3" topLeftCell="J4" activePane="bottomRight" state="frozen"/>
      <selection pane="topRight"/>
      <selection pane="bottomLeft"/>
      <selection pane="bottomRight" activeCell="U3" sqref="U3"/>
    </sheetView>
  </sheetViews>
  <sheetFormatPr defaultRowHeight="14.4" x14ac:dyDescent="0.3"/>
  <cols>
    <col min="1" max="1" width="5" customWidth="1"/>
    <col min="2" max="2" width="11" customWidth="1"/>
    <col min="3" max="3" width="34" customWidth="1"/>
    <col min="4" max="4" width="20" customWidth="1"/>
    <col min="5" max="5" width="22" customWidth="1"/>
    <col min="6" max="6" width="10" customWidth="1"/>
    <col min="7" max="7" width="13" customWidth="1"/>
    <col min="8" max="8" width="17" customWidth="1"/>
    <col min="9" max="9" width="22" customWidth="1"/>
    <col min="10" max="10" width="20" customWidth="1"/>
    <col min="11" max="12" width="14" customWidth="1"/>
    <col min="13" max="13" width="15" customWidth="1"/>
    <col min="14" max="14" width="13" customWidth="1"/>
    <col min="15" max="15" width="11" customWidth="1"/>
    <col min="16" max="16" width="13" customWidth="1"/>
    <col min="17" max="17" width="22" customWidth="1"/>
    <col min="18" max="18" width="12" customWidth="1"/>
    <col min="19" max="19" width="13" customWidth="1"/>
    <col min="20" max="20" width="32" customWidth="1"/>
    <col min="21" max="21" width="28" customWidth="1"/>
  </cols>
  <sheetData>
    <row r="1" spans="1:21" ht="44.1" customHeight="1" x14ac:dyDescent="0.3">
      <c r="A1" s="83" t="s">
        <v>67</v>
      </c>
      <c r="B1" s="84"/>
      <c r="C1" s="84"/>
      <c r="D1" s="84"/>
      <c r="E1" s="84"/>
      <c r="F1" s="84"/>
      <c r="G1" s="84"/>
      <c r="H1" s="84"/>
      <c r="I1" s="84"/>
      <c r="J1" s="84"/>
      <c r="K1" s="84"/>
      <c r="L1" s="84"/>
      <c r="M1" s="84"/>
      <c r="N1" s="84"/>
      <c r="O1" s="84"/>
      <c r="P1" s="84"/>
      <c r="Q1" s="84"/>
      <c r="R1" s="84"/>
      <c r="S1" s="84"/>
      <c r="T1" s="84"/>
      <c r="U1" s="84"/>
    </row>
    <row r="2" spans="1:21" ht="4.05" customHeight="1" x14ac:dyDescent="0.3">
      <c r="A2" s="87"/>
      <c r="B2" s="84"/>
      <c r="C2" s="84"/>
      <c r="D2" s="84"/>
      <c r="E2" s="84"/>
      <c r="F2" s="84"/>
      <c r="G2" s="84"/>
      <c r="H2" s="84"/>
      <c r="I2" s="84"/>
      <c r="J2" s="84"/>
      <c r="K2" s="84"/>
      <c r="L2" s="84"/>
      <c r="M2" s="84"/>
      <c r="N2" s="84"/>
      <c r="O2" s="84"/>
      <c r="P2" s="84"/>
      <c r="Q2" s="84"/>
      <c r="R2" s="84"/>
      <c r="S2" s="84"/>
      <c r="T2" s="84"/>
      <c r="U2" s="84"/>
    </row>
    <row r="3" spans="1:21" ht="38.049999999999997" customHeight="1" x14ac:dyDescent="0.3">
      <c r="A3" s="8" t="s">
        <v>68</v>
      </c>
      <c r="B3" s="8" t="s">
        <v>69</v>
      </c>
      <c r="C3" s="8" t="s">
        <v>70</v>
      </c>
      <c r="D3" s="8" t="s">
        <v>3</v>
      </c>
      <c r="E3" s="8" t="s">
        <v>4</v>
      </c>
      <c r="F3" s="8" t="s">
        <v>5</v>
      </c>
      <c r="G3" s="8" t="s">
        <v>2</v>
      </c>
      <c r="H3" s="8" t="s">
        <v>1</v>
      </c>
      <c r="I3" s="8" t="s">
        <v>6</v>
      </c>
      <c r="J3" s="8" t="s">
        <v>71</v>
      </c>
      <c r="K3" s="8" t="s">
        <v>72</v>
      </c>
      <c r="L3" s="8" t="s">
        <v>73</v>
      </c>
      <c r="M3" s="8" t="s">
        <v>74</v>
      </c>
      <c r="N3" s="8" t="s">
        <v>75</v>
      </c>
      <c r="O3" s="8" t="s">
        <v>76</v>
      </c>
      <c r="P3" s="8" t="s">
        <v>77</v>
      </c>
      <c r="Q3" s="8" t="s">
        <v>78</v>
      </c>
      <c r="R3" s="8" t="s">
        <v>79</v>
      </c>
      <c r="S3" s="8" t="s">
        <v>80</v>
      </c>
      <c r="T3" s="8" t="s">
        <v>81</v>
      </c>
      <c r="U3" s="9" t="s">
        <v>82</v>
      </c>
    </row>
    <row r="4" spans="1:21" ht="22.05" customHeight="1" x14ac:dyDescent="0.3">
      <c r="A4" s="10">
        <v>1</v>
      </c>
      <c r="B4" s="11" t="s">
        <v>83</v>
      </c>
      <c r="C4" s="12" t="s">
        <v>84</v>
      </c>
      <c r="D4" s="13" t="s">
        <v>25</v>
      </c>
      <c r="E4" s="13" t="s">
        <v>19</v>
      </c>
      <c r="F4" s="14" t="s">
        <v>13</v>
      </c>
      <c r="G4" s="15" t="s">
        <v>17</v>
      </c>
      <c r="H4" s="16" t="s">
        <v>30</v>
      </c>
      <c r="I4" s="13" t="s">
        <v>14</v>
      </c>
      <c r="J4" s="13" t="s">
        <v>85</v>
      </c>
      <c r="K4" s="17" t="s">
        <v>86</v>
      </c>
      <c r="L4" s="17" t="s">
        <v>87</v>
      </c>
      <c r="M4" s="17" t="s">
        <v>88</v>
      </c>
      <c r="N4" s="18" t="str">
        <f t="shared" ref="N4:N33" ca="1" si="0">IF(M4&lt;&gt;"",IF(AND(ISNUMBER(DATEVALUE(M4)),ISNUMBER(DATEVALUE(K4))),DATEVALUE(M4)-DATEVALUE(K4),""),IF(ISNUMBER(DATEVALUE(K4)),TODAY()-DATEVALUE(K4),""))</f>
        <v/>
      </c>
      <c r="O4" s="19" t="e">
        <f t="shared" ref="O4:O33" ca="1" si="1">IF(AND(H4&lt;&gt;"✅ Completed",H4&lt;&gt;"❌ Cancelled",ISNUMBER(DATEVALUE(L4)),TODAY()&gt;DATEVALUE(L4)),"🚨 OVERDUE","")</f>
        <v>#VALUE!</v>
      </c>
      <c r="P4" s="20">
        <v>1200</v>
      </c>
      <c r="Q4" s="13" t="s">
        <v>89</v>
      </c>
      <c r="R4" s="16" t="s">
        <v>90</v>
      </c>
      <c r="S4" s="18">
        <f t="shared" ref="S4:S33" si="2">IF(H4="✅ Completed",100,IF(H4="❌ Cancelled",0,IF(AND(H4="⏳ Pending",G4="🔴 Critical"),10,IF(AND(H4="⏳ Pending",G4="🟠 High"),30,IF(H4="🔄 In Progress",60,IF(H4="⏸ On Hold",40,50))))))</f>
        <v>100</v>
      </c>
      <c r="T4" s="21" t="s">
        <v>91</v>
      </c>
      <c r="U4" s="22"/>
    </row>
    <row r="5" spans="1:21" ht="22.05" customHeight="1" x14ac:dyDescent="0.3">
      <c r="A5" s="10">
        <v>2</v>
      </c>
      <c r="B5" s="11" t="s">
        <v>92</v>
      </c>
      <c r="C5" s="23" t="s">
        <v>93</v>
      </c>
      <c r="D5" s="24" t="s">
        <v>32</v>
      </c>
      <c r="E5" s="24" t="s">
        <v>61</v>
      </c>
      <c r="F5" s="14" t="s">
        <v>13</v>
      </c>
      <c r="G5" s="19" t="s">
        <v>10</v>
      </c>
      <c r="H5" s="16" t="s">
        <v>30</v>
      </c>
      <c r="I5" s="24" t="s">
        <v>40</v>
      </c>
      <c r="J5" s="24" t="s">
        <v>94</v>
      </c>
      <c r="K5" s="25" t="s">
        <v>95</v>
      </c>
      <c r="L5" s="25" t="s">
        <v>96</v>
      </c>
      <c r="M5" s="25" t="s">
        <v>96</v>
      </c>
      <c r="N5" s="18" t="str">
        <f t="shared" ca="1" si="0"/>
        <v/>
      </c>
      <c r="O5" s="19" t="e">
        <f t="shared" ca="1" si="1"/>
        <v>#VALUE!</v>
      </c>
      <c r="P5" s="20">
        <v>800</v>
      </c>
      <c r="Q5" s="24" t="s">
        <v>97</v>
      </c>
      <c r="R5" s="16" t="s">
        <v>90</v>
      </c>
      <c r="S5" s="18">
        <f t="shared" si="2"/>
        <v>100</v>
      </c>
      <c r="T5" s="26" t="s">
        <v>98</v>
      </c>
      <c r="U5" s="22"/>
    </row>
    <row r="6" spans="1:21" ht="22.05" customHeight="1" x14ac:dyDescent="0.3">
      <c r="A6" s="10">
        <v>3</v>
      </c>
      <c r="B6" s="11" t="s">
        <v>99</v>
      </c>
      <c r="C6" s="12" t="s">
        <v>100</v>
      </c>
      <c r="D6" s="13" t="s">
        <v>38</v>
      </c>
      <c r="E6" s="13" t="s">
        <v>12</v>
      </c>
      <c r="F6" s="14" t="s">
        <v>13</v>
      </c>
      <c r="G6" s="27" t="s">
        <v>24</v>
      </c>
      <c r="H6" s="16" t="s">
        <v>30</v>
      </c>
      <c r="I6" s="13" t="s">
        <v>50</v>
      </c>
      <c r="J6" s="13" t="s">
        <v>101</v>
      </c>
      <c r="K6" s="17" t="s">
        <v>102</v>
      </c>
      <c r="L6" s="17" t="s">
        <v>103</v>
      </c>
      <c r="M6" s="17" t="s">
        <v>104</v>
      </c>
      <c r="N6" s="18" t="str">
        <f t="shared" ca="1" si="0"/>
        <v/>
      </c>
      <c r="O6" s="19" t="e">
        <f t="shared" ca="1" si="1"/>
        <v>#VALUE!</v>
      </c>
      <c r="P6" s="20">
        <v>3500</v>
      </c>
      <c r="Q6" s="13" t="s">
        <v>105</v>
      </c>
      <c r="R6" s="16" t="s">
        <v>90</v>
      </c>
      <c r="S6" s="18">
        <f t="shared" si="2"/>
        <v>100</v>
      </c>
      <c r="T6" s="21" t="s">
        <v>106</v>
      </c>
      <c r="U6" s="22"/>
    </row>
    <row r="7" spans="1:21" ht="22.05" customHeight="1" x14ac:dyDescent="0.3">
      <c r="A7" s="10">
        <v>4</v>
      </c>
      <c r="B7" s="11" t="s">
        <v>107</v>
      </c>
      <c r="C7" s="23" t="s">
        <v>108</v>
      </c>
      <c r="D7" s="24" t="s">
        <v>11</v>
      </c>
      <c r="E7" s="24" t="s">
        <v>63</v>
      </c>
      <c r="F7" s="14" t="s">
        <v>13</v>
      </c>
      <c r="G7" s="15" t="s">
        <v>17</v>
      </c>
      <c r="H7" s="16" t="s">
        <v>30</v>
      </c>
      <c r="I7" s="24" t="s">
        <v>35</v>
      </c>
      <c r="J7" s="24" t="s">
        <v>109</v>
      </c>
      <c r="K7" s="25" t="s">
        <v>110</v>
      </c>
      <c r="L7" s="25" t="s">
        <v>111</v>
      </c>
      <c r="M7" s="25" t="s">
        <v>112</v>
      </c>
      <c r="N7" s="18">
        <f t="shared" ca="1" si="0"/>
        <v>123</v>
      </c>
      <c r="O7" s="19" t="str">
        <f t="shared" ca="1" si="1"/>
        <v/>
      </c>
      <c r="P7" s="20">
        <v>450</v>
      </c>
      <c r="Q7" s="24" t="s">
        <v>113</v>
      </c>
      <c r="R7" s="16" t="s">
        <v>90</v>
      </c>
      <c r="S7" s="18">
        <f t="shared" si="2"/>
        <v>100</v>
      </c>
      <c r="T7" s="26" t="s">
        <v>114</v>
      </c>
      <c r="U7" s="22"/>
    </row>
    <row r="8" spans="1:21" ht="22.05" customHeight="1" x14ac:dyDescent="0.3">
      <c r="A8" s="10">
        <v>5</v>
      </c>
      <c r="B8" s="11" t="s">
        <v>115</v>
      </c>
      <c r="C8" s="12" t="s">
        <v>116</v>
      </c>
      <c r="D8" s="13" t="s">
        <v>18</v>
      </c>
      <c r="E8" s="13" t="s">
        <v>65</v>
      </c>
      <c r="F8" s="14" t="s">
        <v>13</v>
      </c>
      <c r="G8" s="19" t="s">
        <v>10</v>
      </c>
      <c r="H8" s="16" t="s">
        <v>30</v>
      </c>
      <c r="I8" s="13" t="s">
        <v>14</v>
      </c>
      <c r="J8" s="13" t="s">
        <v>85</v>
      </c>
      <c r="K8" s="17" t="s">
        <v>117</v>
      </c>
      <c r="L8" s="17" t="s">
        <v>118</v>
      </c>
      <c r="M8" s="17" t="s">
        <v>118</v>
      </c>
      <c r="N8" s="18" t="str">
        <f t="shared" ca="1" si="0"/>
        <v/>
      </c>
      <c r="O8" s="19" t="e">
        <f t="shared" ca="1" si="1"/>
        <v>#VALUE!</v>
      </c>
      <c r="P8" s="20">
        <v>200</v>
      </c>
      <c r="Q8" s="13" t="s">
        <v>53</v>
      </c>
      <c r="R8" s="16" t="s">
        <v>90</v>
      </c>
      <c r="S8" s="18">
        <f t="shared" si="2"/>
        <v>100</v>
      </c>
      <c r="T8" s="21" t="s">
        <v>119</v>
      </c>
      <c r="U8" s="22"/>
    </row>
    <row r="9" spans="1:21" ht="22.05" customHeight="1" x14ac:dyDescent="0.3">
      <c r="A9" s="10">
        <v>6</v>
      </c>
      <c r="B9" s="11" t="s">
        <v>120</v>
      </c>
      <c r="C9" s="23" t="s">
        <v>121</v>
      </c>
      <c r="D9" s="24" t="s">
        <v>48</v>
      </c>
      <c r="E9" s="24" t="s">
        <v>64</v>
      </c>
      <c r="F9" s="14" t="s">
        <v>13</v>
      </c>
      <c r="G9" s="27" t="s">
        <v>24</v>
      </c>
      <c r="H9" s="16" t="s">
        <v>30</v>
      </c>
      <c r="I9" s="24" t="s">
        <v>28</v>
      </c>
      <c r="J9" s="24" t="s">
        <v>94</v>
      </c>
      <c r="K9" s="25" t="s">
        <v>122</v>
      </c>
      <c r="L9" s="25" t="s">
        <v>123</v>
      </c>
      <c r="M9" s="25" t="s">
        <v>124</v>
      </c>
      <c r="N9" s="18" t="str">
        <f t="shared" ca="1" si="0"/>
        <v/>
      </c>
      <c r="O9" s="19" t="e">
        <f t="shared" ca="1" si="1"/>
        <v>#VALUE!</v>
      </c>
      <c r="P9" s="20">
        <v>5800</v>
      </c>
      <c r="Q9" s="24" t="s">
        <v>125</v>
      </c>
      <c r="R9" s="16" t="s">
        <v>90</v>
      </c>
      <c r="S9" s="18">
        <f t="shared" si="2"/>
        <v>100</v>
      </c>
      <c r="T9" s="26" t="s">
        <v>126</v>
      </c>
      <c r="U9" s="22"/>
    </row>
    <row r="10" spans="1:21" ht="22.05" customHeight="1" x14ac:dyDescent="0.3">
      <c r="A10" s="10">
        <v>7</v>
      </c>
      <c r="B10" s="11" t="s">
        <v>127</v>
      </c>
      <c r="C10" s="12" t="s">
        <v>128</v>
      </c>
      <c r="D10" s="13" t="s">
        <v>25</v>
      </c>
      <c r="E10" s="13" t="s">
        <v>57</v>
      </c>
      <c r="F10" s="14" t="s">
        <v>13</v>
      </c>
      <c r="G10" s="15" t="s">
        <v>17</v>
      </c>
      <c r="H10" s="16" t="s">
        <v>30</v>
      </c>
      <c r="I10" s="13" t="s">
        <v>50</v>
      </c>
      <c r="J10" s="13" t="s">
        <v>101</v>
      </c>
      <c r="K10" s="17" t="s">
        <v>103</v>
      </c>
      <c r="L10" s="17" t="s">
        <v>129</v>
      </c>
      <c r="M10" s="17" t="s">
        <v>123</v>
      </c>
      <c r="N10" s="18" t="str">
        <f t="shared" ca="1" si="0"/>
        <v/>
      </c>
      <c r="O10" s="19" t="str">
        <f t="shared" ca="1" si="1"/>
        <v/>
      </c>
      <c r="P10" s="20">
        <v>950</v>
      </c>
      <c r="Q10" s="13" t="s">
        <v>130</v>
      </c>
      <c r="R10" s="16" t="s">
        <v>90</v>
      </c>
      <c r="S10" s="18">
        <f t="shared" si="2"/>
        <v>100</v>
      </c>
      <c r="T10" s="21" t="s">
        <v>131</v>
      </c>
      <c r="U10" s="22"/>
    </row>
    <row r="11" spans="1:21" ht="22.05" customHeight="1" x14ac:dyDescent="0.3">
      <c r="A11" s="10">
        <v>8</v>
      </c>
      <c r="B11" s="11" t="s">
        <v>132</v>
      </c>
      <c r="C11" s="23" t="s">
        <v>133</v>
      </c>
      <c r="D11" s="24" t="s">
        <v>51</v>
      </c>
      <c r="E11" s="24" t="s">
        <v>26</v>
      </c>
      <c r="F11" s="14" t="s">
        <v>13</v>
      </c>
      <c r="G11" s="15" t="s">
        <v>17</v>
      </c>
      <c r="H11" s="16" t="s">
        <v>30</v>
      </c>
      <c r="I11" s="24" t="s">
        <v>28</v>
      </c>
      <c r="J11" s="24" t="s">
        <v>109</v>
      </c>
      <c r="K11" s="25" t="s">
        <v>134</v>
      </c>
      <c r="L11" s="25" t="s">
        <v>135</v>
      </c>
      <c r="M11" s="25" t="s">
        <v>136</v>
      </c>
      <c r="N11" s="18" t="str">
        <f t="shared" ca="1" si="0"/>
        <v/>
      </c>
      <c r="O11" s="19" t="str">
        <f t="shared" ca="1" si="1"/>
        <v/>
      </c>
      <c r="P11" s="20">
        <v>2100</v>
      </c>
      <c r="Q11" s="24" t="s">
        <v>137</v>
      </c>
      <c r="R11" s="16" t="s">
        <v>90</v>
      </c>
      <c r="S11" s="18">
        <f t="shared" si="2"/>
        <v>100</v>
      </c>
      <c r="T11" s="26" t="s">
        <v>138</v>
      </c>
      <c r="U11" s="22"/>
    </row>
    <row r="12" spans="1:21" ht="22.05" customHeight="1" x14ac:dyDescent="0.3">
      <c r="A12" s="10">
        <v>9</v>
      </c>
      <c r="B12" s="11" t="s">
        <v>139</v>
      </c>
      <c r="C12" s="12" t="s">
        <v>140</v>
      </c>
      <c r="D12" s="13" t="s">
        <v>58</v>
      </c>
      <c r="E12" s="13" t="s">
        <v>52</v>
      </c>
      <c r="F12" s="14" t="s">
        <v>13</v>
      </c>
      <c r="G12" s="27" t="s">
        <v>24</v>
      </c>
      <c r="H12" s="16" t="s">
        <v>30</v>
      </c>
      <c r="I12" s="13" t="s">
        <v>50</v>
      </c>
      <c r="J12" s="13" t="s">
        <v>85</v>
      </c>
      <c r="K12" s="17" t="s">
        <v>129</v>
      </c>
      <c r="L12" s="17" t="s">
        <v>141</v>
      </c>
      <c r="M12" s="17" t="s">
        <v>142</v>
      </c>
      <c r="N12" s="18">
        <f t="shared" ca="1" si="0"/>
        <v>90</v>
      </c>
      <c r="O12" s="19" t="str">
        <f t="shared" ca="1" si="1"/>
        <v/>
      </c>
      <c r="P12" s="20">
        <v>600</v>
      </c>
      <c r="Q12" s="13" t="s">
        <v>143</v>
      </c>
      <c r="R12" s="16" t="s">
        <v>90</v>
      </c>
      <c r="S12" s="18">
        <f t="shared" si="2"/>
        <v>100</v>
      </c>
      <c r="T12" s="21" t="s">
        <v>144</v>
      </c>
      <c r="U12" s="22"/>
    </row>
    <row r="13" spans="1:21" ht="22.05" customHeight="1" x14ac:dyDescent="0.3">
      <c r="A13" s="10">
        <v>10</v>
      </c>
      <c r="B13" s="11" t="s">
        <v>145</v>
      </c>
      <c r="C13" s="23" t="s">
        <v>146</v>
      </c>
      <c r="D13" s="24" t="s">
        <v>18</v>
      </c>
      <c r="E13" s="24" t="s">
        <v>12</v>
      </c>
      <c r="F13" s="14" t="s">
        <v>13</v>
      </c>
      <c r="G13" s="16" t="s">
        <v>31</v>
      </c>
      <c r="H13" s="16" t="s">
        <v>30</v>
      </c>
      <c r="I13" s="24" t="s">
        <v>14</v>
      </c>
      <c r="J13" s="24" t="s">
        <v>94</v>
      </c>
      <c r="K13" s="25" t="s">
        <v>135</v>
      </c>
      <c r="L13" s="25" t="s">
        <v>147</v>
      </c>
      <c r="M13" s="25" t="s">
        <v>148</v>
      </c>
      <c r="N13" s="18" t="str">
        <f t="shared" ca="1" si="0"/>
        <v/>
      </c>
      <c r="O13" s="19" t="e">
        <f t="shared" ca="1" si="1"/>
        <v>#VALUE!</v>
      </c>
      <c r="P13" s="20">
        <v>300</v>
      </c>
      <c r="Q13" s="24" t="s">
        <v>53</v>
      </c>
      <c r="R13" s="16" t="s">
        <v>90</v>
      </c>
      <c r="S13" s="18">
        <f t="shared" si="2"/>
        <v>100</v>
      </c>
      <c r="T13" s="26" t="s">
        <v>149</v>
      </c>
      <c r="U13" s="22"/>
    </row>
    <row r="14" spans="1:21" ht="22.05" customHeight="1" x14ac:dyDescent="0.3">
      <c r="A14" s="10">
        <v>11</v>
      </c>
      <c r="B14" s="11" t="s">
        <v>150</v>
      </c>
      <c r="C14" s="12" t="s">
        <v>151</v>
      </c>
      <c r="D14" s="13" t="s">
        <v>25</v>
      </c>
      <c r="E14" s="13" t="s">
        <v>59</v>
      </c>
      <c r="F14" s="14" t="s">
        <v>13</v>
      </c>
      <c r="G14" s="19" t="s">
        <v>10</v>
      </c>
      <c r="H14" s="16" t="s">
        <v>30</v>
      </c>
      <c r="I14" s="13" t="s">
        <v>50</v>
      </c>
      <c r="J14" s="13" t="s">
        <v>101</v>
      </c>
      <c r="K14" s="17" t="s">
        <v>152</v>
      </c>
      <c r="L14" s="17" t="s">
        <v>153</v>
      </c>
      <c r="M14" s="17" t="s">
        <v>153</v>
      </c>
      <c r="N14" s="18" t="str">
        <f t="shared" ca="1" si="0"/>
        <v/>
      </c>
      <c r="O14" s="19" t="e">
        <f t="shared" ca="1" si="1"/>
        <v>#VALUE!</v>
      </c>
      <c r="P14" s="20">
        <v>1800</v>
      </c>
      <c r="Q14" s="13" t="s">
        <v>89</v>
      </c>
      <c r="R14" s="16" t="s">
        <v>90</v>
      </c>
      <c r="S14" s="18">
        <f t="shared" si="2"/>
        <v>100</v>
      </c>
      <c r="T14" s="21" t="s">
        <v>154</v>
      </c>
      <c r="U14" s="22"/>
    </row>
    <row r="15" spans="1:21" ht="22.05" customHeight="1" x14ac:dyDescent="0.3">
      <c r="A15" s="10">
        <v>12</v>
      </c>
      <c r="B15" s="11" t="s">
        <v>155</v>
      </c>
      <c r="C15" s="23" t="s">
        <v>156</v>
      </c>
      <c r="D15" s="24" t="s">
        <v>11</v>
      </c>
      <c r="E15" s="24" t="s">
        <v>12</v>
      </c>
      <c r="F15" s="14" t="s">
        <v>13</v>
      </c>
      <c r="G15" s="15" t="s">
        <v>17</v>
      </c>
      <c r="H15" s="16" t="s">
        <v>30</v>
      </c>
      <c r="I15" s="24" t="s">
        <v>35</v>
      </c>
      <c r="J15" s="24" t="s">
        <v>109</v>
      </c>
      <c r="K15" s="25" t="s">
        <v>157</v>
      </c>
      <c r="L15" s="25" t="s">
        <v>147</v>
      </c>
      <c r="M15" s="25" t="s">
        <v>158</v>
      </c>
      <c r="N15" s="18" t="str">
        <f t="shared" ca="1" si="0"/>
        <v/>
      </c>
      <c r="O15" s="19" t="e">
        <f t="shared" ca="1" si="1"/>
        <v>#VALUE!</v>
      </c>
      <c r="P15" s="20">
        <v>2500</v>
      </c>
      <c r="Q15" s="24" t="s">
        <v>113</v>
      </c>
      <c r="R15" s="16" t="s">
        <v>90</v>
      </c>
      <c r="S15" s="18">
        <f t="shared" si="2"/>
        <v>100</v>
      </c>
      <c r="T15" s="26" t="s">
        <v>159</v>
      </c>
      <c r="U15" s="22"/>
    </row>
    <row r="16" spans="1:21" ht="22.05" customHeight="1" x14ac:dyDescent="0.3">
      <c r="A16" s="10">
        <v>13</v>
      </c>
      <c r="B16" s="11" t="s">
        <v>160</v>
      </c>
      <c r="C16" s="12" t="s">
        <v>161</v>
      </c>
      <c r="D16" s="13" t="s">
        <v>18</v>
      </c>
      <c r="E16" s="13" t="s">
        <v>49</v>
      </c>
      <c r="F16" s="28" t="s">
        <v>20</v>
      </c>
      <c r="G16" s="15" t="s">
        <v>17</v>
      </c>
      <c r="H16" s="16" t="s">
        <v>30</v>
      </c>
      <c r="I16" s="13" t="s">
        <v>50</v>
      </c>
      <c r="J16" s="13" t="s">
        <v>85</v>
      </c>
      <c r="K16" s="17" t="s">
        <v>162</v>
      </c>
      <c r="L16" s="17" t="s">
        <v>163</v>
      </c>
      <c r="M16" s="17" t="s">
        <v>164</v>
      </c>
      <c r="N16" s="18" t="str">
        <f t="shared" ca="1" si="0"/>
        <v/>
      </c>
      <c r="O16" s="19" t="e">
        <f t="shared" ca="1" si="1"/>
        <v>#VALUE!</v>
      </c>
      <c r="P16" s="20">
        <v>3200</v>
      </c>
      <c r="Q16" s="13" t="s">
        <v>165</v>
      </c>
      <c r="R16" s="16" t="s">
        <v>90</v>
      </c>
      <c r="S16" s="18">
        <f t="shared" si="2"/>
        <v>100</v>
      </c>
      <c r="T16" s="21" t="s">
        <v>166</v>
      </c>
      <c r="U16" s="22"/>
    </row>
    <row r="17" spans="1:21" ht="22.05" customHeight="1" x14ac:dyDescent="0.3">
      <c r="A17" s="10">
        <v>14</v>
      </c>
      <c r="B17" s="11" t="s">
        <v>167</v>
      </c>
      <c r="C17" s="23" t="s">
        <v>168</v>
      </c>
      <c r="D17" s="24" t="s">
        <v>51</v>
      </c>
      <c r="E17" s="24" t="s">
        <v>12</v>
      </c>
      <c r="F17" s="28" t="s">
        <v>20</v>
      </c>
      <c r="G17" s="19" t="s">
        <v>10</v>
      </c>
      <c r="H17" s="16" t="s">
        <v>30</v>
      </c>
      <c r="I17" s="24" t="s">
        <v>44</v>
      </c>
      <c r="J17" s="24" t="s">
        <v>109</v>
      </c>
      <c r="K17" s="25" t="s">
        <v>169</v>
      </c>
      <c r="L17" s="25" t="s">
        <v>170</v>
      </c>
      <c r="M17" s="25" t="s">
        <v>171</v>
      </c>
      <c r="N17" s="18" t="str">
        <f t="shared" ca="1" si="0"/>
        <v/>
      </c>
      <c r="O17" s="19" t="e">
        <f t="shared" ca="1" si="1"/>
        <v>#VALUE!</v>
      </c>
      <c r="P17" s="20">
        <v>4500</v>
      </c>
      <c r="Q17" s="24" t="s">
        <v>172</v>
      </c>
      <c r="R17" s="16" t="s">
        <v>90</v>
      </c>
      <c r="S17" s="18">
        <f t="shared" si="2"/>
        <v>100</v>
      </c>
      <c r="T17" s="26" t="s">
        <v>173</v>
      </c>
      <c r="U17" s="22"/>
    </row>
    <row r="18" spans="1:21" ht="22.05" customHeight="1" x14ac:dyDescent="0.3">
      <c r="A18" s="10">
        <v>15</v>
      </c>
      <c r="B18" s="11" t="s">
        <v>174</v>
      </c>
      <c r="C18" s="12" t="s">
        <v>175</v>
      </c>
      <c r="D18" s="13" t="s">
        <v>38</v>
      </c>
      <c r="E18" s="13" t="s">
        <v>39</v>
      </c>
      <c r="F18" s="28" t="s">
        <v>20</v>
      </c>
      <c r="G18" s="16" t="s">
        <v>31</v>
      </c>
      <c r="H18" s="16" t="s">
        <v>30</v>
      </c>
      <c r="I18" s="13" t="s">
        <v>14</v>
      </c>
      <c r="J18" s="13" t="s">
        <v>101</v>
      </c>
      <c r="K18" s="17" t="s">
        <v>170</v>
      </c>
      <c r="L18" s="17" t="s">
        <v>176</v>
      </c>
      <c r="M18" s="17" t="s">
        <v>177</v>
      </c>
      <c r="N18" s="18" t="str">
        <f t="shared" ca="1" si="0"/>
        <v/>
      </c>
      <c r="O18" s="19" t="str">
        <f t="shared" ca="1" si="1"/>
        <v/>
      </c>
      <c r="P18" s="20">
        <v>1100</v>
      </c>
      <c r="Q18" s="13" t="s">
        <v>105</v>
      </c>
      <c r="R18" s="16" t="s">
        <v>90</v>
      </c>
      <c r="S18" s="18">
        <f t="shared" si="2"/>
        <v>100</v>
      </c>
      <c r="T18" s="21" t="s">
        <v>178</v>
      </c>
      <c r="U18" s="22"/>
    </row>
    <row r="19" spans="1:21" ht="22.05" customHeight="1" x14ac:dyDescent="0.3">
      <c r="A19" s="10">
        <v>16</v>
      </c>
      <c r="B19" s="11" t="s">
        <v>179</v>
      </c>
      <c r="C19" s="23" t="s">
        <v>180</v>
      </c>
      <c r="D19" s="24" t="s">
        <v>42</v>
      </c>
      <c r="E19" s="24" t="s">
        <v>46</v>
      </c>
      <c r="F19" s="28" t="s">
        <v>20</v>
      </c>
      <c r="G19" s="27" t="s">
        <v>24</v>
      </c>
      <c r="H19" s="16" t="s">
        <v>30</v>
      </c>
      <c r="I19" s="24" t="s">
        <v>50</v>
      </c>
      <c r="J19" s="24" t="s">
        <v>94</v>
      </c>
      <c r="K19" s="25" t="s">
        <v>163</v>
      </c>
      <c r="L19" s="25" t="s">
        <v>181</v>
      </c>
      <c r="M19" s="25" t="s">
        <v>182</v>
      </c>
      <c r="N19" s="18" t="str">
        <f t="shared" ca="1" si="0"/>
        <v/>
      </c>
      <c r="O19" s="19" t="e">
        <f t="shared" ca="1" si="1"/>
        <v>#VALUE!</v>
      </c>
      <c r="P19" s="20">
        <v>2800</v>
      </c>
      <c r="Q19" s="24" t="s">
        <v>183</v>
      </c>
      <c r="R19" s="16" t="s">
        <v>90</v>
      </c>
      <c r="S19" s="18">
        <f t="shared" si="2"/>
        <v>100</v>
      </c>
      <c r="T19" s="26" t="s">
        <v>184</v>
      </c>
      <c r="U19" s="22"/>
    </row>
    <row r="20" spans="1:21" ht="22.05" customHeight="1" x14ac:dyDescent="0.3">
      <c r="A20" s="10">
        <v>17</v>
      </c>
      <c r="B20" s="11" t="s">
        <v>185</v>
      </c>
      <c r="C20" s="12" t="s">
        <v>186</v>
      </c>
      <c r="D20" s="13" t="s">
        <v>42</v>
      </c>
      <c r="E20" s="13" t="s">
        <v>33</v>
      </c>
      <c r="F20" s="28" t="s">
        <v>20</v>
      </c>
      <c r="G20" s="15" t="s">
        <v>17</v>
      </c>
      <c r="H20" s="16" t="s">
        <v>30</v>
      </c>
      <c r="I20" s="13" t="s">
        <v>14</v>
      </c>
      <c r="J20" s="13" t="s">
        <v>85</v>
      </c>
      <c r="K20" s="17" t="s">
        <v>187</v>
      </c>
      <c r="L20" s="17" t="s">
        <v>188</v>
      </c>
      <c r="M20" s="17" t="s">
        <v>189</v>
      </c>
      <c r="N20" s="18" t="str">
        <f t="shared" ca="1" si="0"/>
        <v/>
      </c>
      <c r="O20" s="19" t="e">
        <f t="shared" ca="1" si="1"/>
        <v>#VALUE!</v>
      </c>
      <c r="P20" s="20">
        <v>650</v>
      </c>
      <c r="Q20" s="13" t="s">
        <v>53</v>
      </c>
      <c r="R20" s="16" t="s">
        <v>90</v>
      </c>
      <c r="S20" s="18">
        <f t="shared" si="2"/>
        <v>100</v>
      </c>
      <c r="T20" s="21" t="s">
        <v>190</v>
      </c>
      <c r="U20" s="22"/>
    </row>
    <row r="21" spans="1:21" ht="22.05" customHeight="1" x14ac:dyDescent="0.3">
      <c r="A21" s="10">
        <v>18</v>
      </c>
      <c r="B21" s="11" t="s">
        <v>191</v>
      </c>
      <c r="C21" s="23" t="s">
        <v>192</v>
      </c>
      <c r="D21" s="24" t="s">
        <v>32</v>
      </c>
      <c r="E21" s="24" t="s">
        <v>61</v>
      </c>
      <c r="F21" s="28" t="s">
        <v>20</v>
      </c>
      <c r="G21" s="19" t="s">
        <v>10</v>
      </c>
      <c r="H21" s="16" t="s">
        <v>30</v>
      </c>
      <c r="I21" s="24" t="s">
        <v>40</v>
      </c>
      <c r="J21" s="24" t="s">
        <v>94</v>
      </c>
      <c r="K21" s="25" t="s">
        <v>193</v>
      </c>
      <c r="L21" s="25" t="s">
        <v>194</v>
      </c>
      <c r="M21" s="25" t="s">
        <v>195</v>
      </c>
      <c r="N21" s="18" t="str">
        <f t="shared" ca="1" si="0"/>
        <v/>
      </c>
      <c r="O21" s="19" t="str">
        <f t="shared" ca="1" si="1"/>
        <v/>
      </c>
      <c r="P21" s="20">
        <v>1900</v>
      </c>
      <c r="Q21" s="24" t="s">
        <v>97</v>
      </c>
      <c r="R21" s="16" t="s">
        <v>90</v>
      </c>
      <c r="S21" s="18">
        <f t="shared" si="2"/>
        <v>100</v>
      </c>
      <c r="T21" s="26" t="s">
        <v>196</v>
      </c>
      <c r="U21" s="22"/>
    </row>
    <row r="22" spans="1:21" ht="22.05" customHeight="1" x14ac:dyDescent="0.3">
      <c r="A22" s="10">
        <v>19</v>
      </c>
      <c r="B22" s="11" t="s">
        <v>197</v>
      </c>
      <c r="C22" s="12" t="s">
        <v>198</v>
      </c>
      <c r="D22" s="13" t="s">
        <v>11</v>
      </c>
      <c r="E22" s="13" t="s">
        <v>55</v>
      </c>
      <c r="F22" s="28" t="s">
        <v>20</v>
      </c>
      <c r="G22" s="27" t="s">
        <v>24</v>
      </c>
      <c r="H22" s="16" t="s">
        <v>30</v>
      </c>
      <c r="I22" s="13" t="s">
        <v>35</v>
      </c>
      <c r="J22" s="13" t="s">
        <v>109</v>
      </c>
      <c r="K22" s="17" t="s">
        <v>199</v>
      </c>
      <c r="L22" s="17" t="s">
        <v>200</v>
      </c>
      <c r="M22" s="17" t="s">
        <v>201</v>
      </c>
      <c r="N22" s="18" t="str">
        <f t="shared" ca="1" si="0"/>
        <v/>
      </c>
      <c r="O22" s="19" t="e">
        <f t="shared" ca="1" si="1"/>
        <v>#VALUE!</v>
      </c>
      <c r="P22" s="20">
        <v>3600</v>
      </c>
      <c r="Q22" s="13" t="s">
        <v>113</v>
      </c>
      <c r="R22" s="16" t="s">
        <v>90</v>
      </c>
      <c r="S22" s="18">
        <f t="shared" si="2"/>
        <v>100</v>
      </c>
      <c r="T22" s="21" t="s">
        <v>202</v>
      </c>
      <c r="U22" s="22"/>
    </row>
    <row r="23" spans="1:21" ht="22.05" customHeight="1" x14ac:dyDescent="0.3">
      <c r="A23" s="10">
        <v>20</v>
      </c>
      <c r="B23" s="11" t="s">
        <v>203</v>
      </c>
      <c r="C23" s="23" t="s">
        <v>204</v>
      </c>
      <c r="D23" s="24" t="s">
        <v>32</v>
      </c>
      <c r="E23" s="24" t="s">
        <v>52</v>
      </c>
      <c r="F23" s="28" t="s">
        <v>20</v>
      </c>
      <c r="G23" s="15" t="s">
        <v>17</v>
      </c>
      <c r="H23" s="16" t="s">
        <v>30</v>
      </c>
      <c r="I23" s="24" t="s">
        <v>40</v>
      </c>
      <c r="J23" s="24" t="s">
        <v>101</v>
      </c>
      <c r="K23" s="25" t="s">
        <v>194</v>
      </c>
      <c r="L23" s="25" t="s">
        <v>181</v>
      </c>
      <c r="M23" s="25" t="s">
        <v>182</v>
      </c>
      <c r="N23" s="18" t="str">
        <f t="shared" ca="1" si="0"/>
        <v/>
      </c>
      <c r="O23" s="19" t="e">
        <f t="shared" ca="1" si="1"/>
        <v>#VALUE!</v>
      </c>
      <c r="P23" s="20">
        <v>750</v>
      </c>
      <c r="Q23" s="24" t="s">
        <v>97</v>
      </c>
      <c r="R23" s="16" t="s">
        <v>90</v>
      </c>
      <c r="S23" s="18">
        <f t="shared" si="2"/>
        <v>100</v>
      </c>
      <c r="T23" s="26" t="s">
        <v>205</v>
      </c>
      <c r="U23" s="22"/>
    </row>
    <row r="24" spans="1:21" ht="22.05" customHeight="1" x14ac:dyDescent="0.3">
      <c r="A24" s="10">
        <v>21</v>
      </c>
      <c r="B24" s="11" t="s">
        <v>206</v>
      </c>
      <c r="C24" s="12" t="s">
        <v>84</v>
      </c>
      <c r="D24" s="13" t="s">
        <v>25</v>
      </c>
      <c r="E24" s="13" t="s">
        <v>19</v>
      </c>
      <c r="F24" s="29" t="s">
        <v>27</v>
      </c>
      <c r="G24" s="15" t="s">
        <v>17</v>
      </c>
      <c r="H24" s="15" t="s">
        <v>16</v>
      </c>
      <c r="I24" s="13" t="s">
        <v>14</v>
      </c>
      <c r="J24" s="13" t="s">
        <v>85</v>
      </c>
      <c r="K24" s="17" t="s">
        <v>207</v>
      </c>
      <c r="L24" s="17" t="s">
        <v>208</v>
      </c>
      <c r="M24" s="17"/>
      <c r="N24" s="18">
        <f t="shared" ca="1" si="0"/>
        <v>66</v>
      </c>
      <c r="O24" s="19" t="str">
        <f t="shared" ca="1" si="1"/>
        <v/>
      </c>
      <c r="P24" s="20">
        <v>1200</v>
      </c>
      <c r="Q24" s="13" t="s">
        <v>89</v>
      </c>
      <c r="R24" s="15" t="s">
        <v>209</v>
      </c>
      <c r="S24" s="18">
        <f t="shared" si="2"/>
        <v>60</v>
      </c>
      <c r="T24" s="21" t="s">
        <v>210</v>
      </c>
      <c r="U24" s="22"/>
    </row>
    <row r="25" spans="1:21" ht="22.05" customHeight="1" x14ac:dyDescent="0.3">
      <c r="A25" s="10">
        <v>22</v>
      </c>
      <c r="B25" s="11" t="s">
        <v>211</v>
      </c>
      <c r="C25" s="23" t="s">
        <v>93</v>
      </c>
      <c r="D25" s="24" t="s">
        <v>32</v>
      </c>
      <c r="E25" s="24" t="s">
        <v>61</v>
      </c>
      <c r="F25" s="29" t="s">
        <v>27</v>
      </c>
      <c r="G25" s="19" t="s">
        <v>10</v>
      </c>
      <c r="H25" s="27" t="s">
        <v>9</v>
      </c>
      <c r="I25" s="24" t="s">
        <v>40</v>
      </c>
      <c r="J25" s="24" t="s">
        <v>94</v>
      </c>
      <c r="K25" s="25" t="s">
        <v>212</v>
      </c>
      <c r="L25" s="25" t="s">
        <v>213</v>
      </c>
      <c r="M25" s="25"/>
      <c r="N25" s="18">
        <f t="shared" ca="1" si="0"/>
        <v>7</v>
      </c>
      <c r="O25" s="19" t="str">
        <f t="shared" ca="1" si="1"/>
        <v/>
      </c>
      <c r="P25" s="20">
        <v>800</v>
      </c>
      <c r="Q25" s="24" t="s">
        <v>97</v>
      </c>
      <c r="R25" s="15" t="s">
        <v>214</v>
      </c>
      <c r="S25" s="18">
        <f t="shared" si="2"/>
        <v>10</v>
      </c>
      <c r="T25" s="26" t="s">
        <v>215</v>
      </c>
      <c r="U25" s="22"/>
    </row>
    <row r="26" spans="1:21" ht="22.05" customHeight="1" x14ac:dyDescent="0.3">
      <c r="A26" s="10">
        <v>23</v>
      </c>
      <c r="B26" s="11" t="s">
        <v>216</v>
      </c>
      <c r="C26" s="12" t="s">
        <v>217</v>
      </c>
      <c r="D26" s="13" t="s">
        <v>38</v>
      </c>
      <c r="E26" s="13" t="s">
        <v>43</v>
      </c>
      <c r="F26" s="29" t="s">
        <v>27</v>
      </c>
      <c r="G26" s="27" t="s">
        <v>24</v>
      </c>
      <c r="H26" s="27" t="s">
        <v>9</v>
      </c>
      <c r="I26" s="13" t="s">
        <v>50</v>
      </c>
      <c r="J26" s="13" t="s">
        <v>101</v>
      </c>
      <c r="K26" s="17" t="s">
        <v>213</v>
      </c>
      <c r="L26" s="17" t="s">
        <v>218</v>
      </c>
      <c r="M26" s="17"/>
      <c r="N26" s="18">
        <f t="shared" ca="1" si="0"/>
        <v>-54</v>
      </c>
      <c r="O26" s="19" t="e">
        <f t="shared" ca="1" si="1"/>
        <v>#VALUE!</v>
      </c>
      <c r="P26" s="20">
        <v>3500</v>
      </c>
      <c r="Q26" s="13" t="s">
        <v>105</v>
      </c>
      <c r="R26" s="15" t="s">
        <v>214</v>
      </c>
      <c r="S26" s="18">
        <f t="shared" si="2"/>
        <v>50</v>
      </c>
      <c r="T26" s="21" t="s">
        <v>219</v>
      </c>
      <c r="U26" s="22"/>
    </row>
    <row r="27" spans="1:21" ht="22.05" customHeight="1" x14ac:dyDescent="0.3">
      <c r="A27" s="10">
        <v>24</v>
      </c>
      <c r="B27" s="11" t="s">
        <v>220</v>
      </c>
      <c r="C27" s="23" t="s">
        <v>221</v>
      </c>
      <c r="D27" s="24" t="s">
        <v>11</v>
      </c>
      <c r="E27" s="24" t="s">
        <v>26</v>
      </c>
      <c r="F27" s="29" t="s">
        <v>27</v>
      </c>
      <c r="G27" s="15" t="s">
        <v>17</v>
      </c>
      <c r="H27" s="30" t="s">
        <v>23</v>
      </c>
      <c r="I27" s="24" t="s">
        <v>35</v>
      </c>
      <c r="J27" s="24" t="s">
        <v>109</v>
      </c>
      <c r="K27" s="25" t="s">
        <v>222</v>
      </c>
      <c r="L27" s="25" t="s">
        <v>223</v>
      </c>
      <c r="M27" s="25"/>
      <c r="N27" s="18">
        <f t="shared" ca="1" si="0"/>
        <v>-115</v>
      </c>
      <c r="O27" s="19" t="e">
        <f t="shared" ca="1" si="1"/>
        <v>#VALUE!</v>
      </c>
      <c r="P27" s="20">
        <v>450</v>
      </c>
      <c r="Q27" s="24" t="s">
        <v>113</v>
      </c>
      <c r="R27" s="15" t="s">
        <v>224</v>
      </c>
      <c r="S27" s="18">
        <f t="shared" si="2"/>
        <v>40</v>
      </c>
      <c r="T27" s="26" t="s">
        <v>225</v>
      </c>
      <c r="U27" s="22"/>
    </row>
    <row r="28" spans="1:21" ht="22.05" customHeight="1" x14ac:dyDescent="0.3">
      <c r="A28" s="10">
        <v>25</v>
      </c>
      <c r="B28" s="11" t="s">
        <v>226</v>
      </c>
      <c r="C28" s="12" t="s">
        <v>227</v>
      </c>
      <c r="D28" s="13" t="s">
        <v>51</v>
      </c>
      <c r="E28" s="13" t="s">
        <v>19</v>
      </c>
      <c r="F28" s="29" t="s">
        <v>27</v>
      </c>
      <c r="G28" s="15" t="s">
        <v>17</v>
      </c>
      <c r="H28" s="15" t="s">
        <v>16</v>
      </c>
      <c r="I28" s="13" t="s">
        <v>28</v>
      </c>
      <c r="J28" s="13" t="s">
        <v>109</v>
      </c>
      <c r="K28" s="17" t="s">
        <v>228</v>
      </c>
      <c r="L28" s="17" t="s">
        <v>229</v>
      </c>
      <c r="M28" s="17"/>
      <c r="N28" s="18" t="str">
        <f t="shared" ca="1" si="0"/>
        <v/>
      </c>
      <c r="O28" s="19" t="e">
        <f t="shared" ca="1" si="1"/>
        <v>#VALUE!</v>
      </c>
      <c r="P28" s="20">
        <v>2100</v>
      </c>
      <c r="Q28" s="13" t="s">
        <v>137</v>
      </c>
      <c r="R28" s="15" t="s">
        <v>230</v>
      </c>
      <c r="S28" s="18">
        <f t="shared" si="2"/>
        <v>60</v>
      </c>
      <c r="T28" s="21" t="s">
        <v>231</v>
      </c>
      <c r="U28" s="22"/>
    </row>
    <row r="29" spans="1:21" ht="22.05" customHeight="1" x14ac:dyDescent="0.3">
      <c r="A29" s="10">
        <v>26</v>
      </c>
      <c r="B29" s="11" t="s">
        <v>232</v>
      </c>
      <c r="C29" s="23" t="s">
        <v>233</v>
      </c>
      <c r="D29" s="24" t="s">
        <v>58</v>
      </c>
      <c r="E29" s="24" t="s">
        <v>52</v>
      </c>
      <c r="F29" s="29" t="s">
        <v>27</v>
      </c>
      <c r="G29" s="27" t="s">
        <v>24</v>
      </c>
      <c r="H29" s="27" t="s">
        <v>9</v>
      </c>
      <c r="I29" s="24" t="s">
        <v>50</v>
      </c>
      <c r="J29" s="24" t="s">
        <v>85</v>
      </c>
      <c r="K29" s="25" t="s">
        <v>213</v>
      </c>
      <c r="L29" s="25" t="s">
        <v>234</v>
      </c>
      <c r="M29" s="25"/>
      <c r="N29" s="18">
        <f t="shared" ca="1" si="0"/>
        <v>-54</v>
      </c>
      <c r="O29" s="19" t="str">
        <f t="shared" ca="1" si="1"/>
        <v/>
      </c>
      <c r="P29" s="20">
        <v>600</v>
      </c>
      <c r="Q29" s="24" t="s">
        <v>143</v>
      </c>
      <c r="R29" s="15" t="s">
        <v>214</v>
      </c>
      <c r="S29" s="18">
        <f t="shared" si="2"/>
        <v>50</v>
      </c>
      <c r="T29" s="26" t="s">
        <v>144</v>
      </c>
      <c r="U29" s="22"/>
    </row>
    <row r="30" spans="1:21" ht="22.05" customHeight="1" x14ac:dyDescent="0.3">
      <c r="A30" s="10">
        <v>27</v>
      </c>
      <c r="B30" s="11" t="s">
        <v>235</v>
      </c>
      <c r="C30" s="12" t="s">
        <v>236</v>
      </c>
      <c r="D30" s="13" t="s">
        <v>25</v>
      </c>
      <c r="E30" s="13" t="s">
        <v>59</v>
      </c>
      <c r="F30" s="29" t="s">
        <v>27</v>
      </c>
      <c r="G30" s="19" t="s">
        <v>10</v>
      </c>
      <c r="H30" s="27" t="s">
        <v>9</v>
      </c>
      <c r="I30" s="13" t="s">
        <v>50</v>
      </c>
      <c r="J30" s="13" t="s">
        <v>101</v>
      </c>
      <c r="K30" s="17" t="s">
        <v>237</v>
      </c>
      <c r="L30" s="17" t="s">
        <v>238</v>
      </c>
      <c r="M30" s="17"/>
      <c r="N30" s="18">
        <f t="shared" ca="1" si="0"/>
        <v>-85</v>
      </c>
      <c r="O30" s="19" t="e">
        <f t="shared" ca="1" si="1"/>
        <v>#VALUE!</v>
      </c>
      <c r="P30" s="20">
        <v>8500</v>
      </c>
      <c r="Q30" s="13" t="s">
        <v>89</v>
      </c>
      <c r="R30" s="15" t="s">
        <v>214</v>
      </c>
      <c r="S30" s="18">
        <f t="shared" si="2"/>
        <v>10</v>
      </c>
      <c r="T30" s="21" t="s">
        <v>239</v>
      </c>
      <c r="U30" s="22"/>
    </row>
    <row r="31" spans="1:21" ht="22.05" customHeight="1" x14ac:dyDescent="0.3">
      <c r="A31" s="10">
        <v>28</v>
      </c>
      <c r="B31" s="11" t="s">
        <v>240</v>
      </c>
      <c r="C31" s="23" t="s">
        <v>241</v>
      </c>
      <c r="D31" s="24" t="s">
        <v>38</v>
      </c>
      <c r="E31" s="24" t="s">
        <v>46</v>
      </c>
      <c r="F31" s="29" t="s">
        <v>27</v>
      </c>
      <c r="G31" s="16" t="s">
        <v>31</v>
      </c>
      <c r="H31" s="27" t="s">
        <v>9</v>
      </c>
      <c r="I31" s="24" t="s">
        <v>50</v>
      </c>
      <c r="J31" s="24" t="s">
        <v>94</v>
      </c>
      <c r="K31" s="25" t="s">
        <v>234</v>
      </c>
      <c r="L31" s="25" t="s">
        <v>238</v>
      </c>
      <c r="M31" s="25"/>
      <c r="N31" s="18">
        <f t="shared" ca="1" si="0"/>
        <v>-146</v>
      </c>
      <c r="O31" s="19" t="e">
        <f t="shared" ca="1" si="1"/>
        <v>#VALUE!</v>
      </c>
      <c r="P31" s="20">
        <v>1800</v>
      </c>
      <c r="Q31" s="24" t="s">
        <v>105</v>
      </c>
      <c r="R31" s="15" t="s">
        <v>214</v>
      </c>
      <c r="S31" s="18">
        <f t="shared" si="2"/>
        <v>50</v>
      </c>
      <c r="T31" s="26"/>
      <c r="U31" s="22"/>
    </row>
    <row r="32" spans="1:21" ht="22.05" customHeight="1" x14ac:dyDescent="0.3">
      <c r="A32" s="10">
        <v>29</v>
      </c>
      <c r="B32" s="11" t="s">
        <v>242</v>
      </c>
      <c r="C32" s="12" t="s">
        <v>243</v>
      </c>
      <c r="D32" s="13" t="s">
        <v>32</v>
      </c>
      <c r="E32" s="13" t="s">
        <v>63</v>
      </c>
      <c r="F32" s="29" t="s">
        <v>27</v>
      </c>
      <c r="G32" s="19" t="s">
        <v>10</v>
      </c>
      <c r="H32" s="15" t="s">
        <v>16</v>
      </c>
      <c r="I32" s="13" t="s">
        <v>40</v>
      </c>
      <c r="J32" s="13" t="s">
        <v>109</v>
      </c>
      <c r="K32" s="17" t="s">
        <v>244</v>
      </c>
      <c r="L32" s="17" t="s">
        <v>245</v>
      </c>
      <c r="M32" s="17"/>
      <c r="N32" s="18">
        <f t="shared" ca="1" si="0"/>
        <v>35</v>
      </c>
      <c r="O32" s="19" t="str">
        <f t="shared" ca="1" si="1"/>
        <v/>
      </c>
      <c r="P32" s="20">
        <v>1900</v>
      </c>
      <c r="Q32" s="13" t="s">
        <v>97</v>
      </c>
      <c r="R32" s="15" t="s">
        <v>246</v>
      </c>
      <c r="S32" s="18">
        <f t="shared" si="2"/>
        <v>60</v>
      </c>
      <c r="T32" s="21" t="s">
        <v>247</v>
      </c>
      <c r="U32" s="22"/>
    </row>
    <row r="33" spans="1:21" ht="22.05" customHeight="1" x14ac:dyDescent="0.3">
      <c r="A33" s="10">
        <v>30</v>
      </c>
      <c r="B33" s="11" t="s">
        <v>248</v>
      </c>
      <c r="C33" s="23" t="s">
        <v>249</v>
      </c>
      <c r="D33" s="24" t="s">
        <v>11</v>
      </c>
      <c r="E33" s="24" t="s">
        <v>57</v>
      </c>
      <c r="F33" s="29" t="s">
        <v>27</v>
      </c>
      <c r="G33" s="27" t="s">
        <v>24</v>
      </c>
      <c r="H33" s="27" t="s">
        <v>9</v>
      </c>
      <c r="I33" s="24" t="s">
        <v>35</v>
      </c>
      <c r="J33" s="24" t="s">
        <v>85</v>
      </c>
      <c r="K33" s="25" t="s">
        <v>245</v>
      </c>
      <c r="L33" s="25" t="s">
        <v>250</v>
      </c>
      <c r="M33" s="25"/>
      <c r="N33" s="18">
        <f t="shared" ca="1" si="0"/>
        <v>-177</v>
      </c>
      <c r="O33" s="19" t="e">
        <f t="shared" ca="1" si="1"/>
        <v>#VALUE!</v>
      </c>
      <c r="P33" s="20">
        <v>2200</v>
      </c>
      <c r="Q33" s="24" t="s">
        <v>113</v>
      </c>
      <c r="R33" s="15" t="s">
        <v>214</v>
      </c>
      <c r="S33" s="18">
        <f t="shared" si="2"/>
        <v>50</v>
      </c>
      <c r="T33" s="26" t="s">
        <v>251</v>
      </c>
      <c r="U33" s="22"/>
    </row>
    <row r="34" spans="1:21" ht="22.05" customHeight="1" x14ac:dyDescent="0.3">
      <c r="A34" s="31">
        <v>31</v>
      </c>
      <c r="B34" s="31" t="s">
        <v>252</v>
      </c>
      <c r="C34" s="32"/>
      <c r="D34" s="32"/>
      <c r="E34" s="32"/>
      <c r="F34" s="32"/>
      <c r="G34" s="32"/>
      <c r="H34" s="32"/>
      <c r="I34" s="32"/>
      <c r="J34" s="32"/>
      <c r="K34" s="32"/>
      <c r="L34" s="32"/>
      <c r="M34" s="32"/>
      <c r="N34" s="32"/>
      <c r="O34" s="32"/>
      <c r="P34" s="32"/>
      <c r="Q34" s="32"/>
      <c r="R34" s="32"/>
      <c r="S34" s="32"/>
      <c r="T34" s="32"/>
      <c r="U34" s="33"/>
    </row>
    <row r="35" spans="1:21" ht="22.05" customHeight="1" x14ac:dyDescent="0.3">
      <c r="A35" s="31">
        <v>32</v>
      </c>
      <c r="B35" s="31" t="s">
        <v>253</v>
      </c>
      <c r="C35" s="34"/>
      <c r="D35" s="34"/>
      <c r="E35" s="34"/>
      <c r="F35" s="34"/>
      <c r="G35" s="34"/>
      <c r="H35" s="34"/>
      <c r="I35" s="34"/>
      <c r="J35" s="34"/>
      <c r="K35" s="34"/>
      <c r="L35" s="34"/>
      <c r="M35" s="34"/>
      <c r="N35" s="34"/>
      <c r="O35" s="34"/>
      <c r="P35" s="34"/>
      <c r="Q35" s="34"/>
      <c r="R35" s="34"/>
      <c r="S35" s="34"/>
      <c r="T35" s="34"/>
      <c r="U35" s="33"/>
    </row>
    <row r="36" spans="1:21" ht="22.05" customHeight="1" x14ac:dyDescent="0.3">
      <c r="A36" s="31">
        <v>33</v>
      </c>
      <c r="B36" s="31" t="s">
        <v>254</v>
      </c>
      <c r="C36" s="32"/>
      <c r="D36" s="32"/>
      <c r="E36" s="32"/>
      <c r="F36" s="32"/>
      <c r="G36" s="32"/>
      <c r="H36" s="32"/>
      <c r="I36" s="32"/>
      <c r="J36" s="32"/>
      <c r="K36" s="32"/>
      <c r="L36" s="32"/>
      <c r="M36" s="32"/>
      <c r="N36" s="32"/>
      <c r="O36" s="32"/>
      <c r="P36" s="32"/>
      <c r="Q36" s="32"/>
      <c r="R36" s="32"/>
      <c r="S36" s="32"/>
      <c r="T36" s="32"/>
      <c r="U36" s="33"/>
    </row>
    <row r="37" spans="1:21" ht="22.05" customHeight="1" x14ac:dyDescent="0.3">
      <c r="A37" s="31">
        <v>34</v>
      </c>
      <c r="B37" s="31" t="s">
        <v>255</v>
      </c>
      <c r="C37" s="34"/>
      <c r="D37" s="34"/>
      <c r="E37" s="34"/>
      <c r="F37" s="34"/>
      <c r="G37" s="34"/>
      <c r="H37" s="34"/>
      <c r="I37" s="34"/>
      <c r="J37" s="34"/>
      <c r="K37" s="34"/>
      <c r="L37" s="34"/>
      <c r="M37" s="34"/>
      <c r="N37" s="34"/>
      <c r="O37" s="34"/>
      <c r="P37" s="34"/>
      <c r="Q37" s="34"/>
      <c r="R37" s="34"/>
      <c r="S37" s="34"/>
      <c r="T37" s="34"/>
      <c r="U37" s="33"/>
    </row>
    <row r="38" spans="1:21" ht="22.05" customHeight="1" x14ac:dyDescent="0.3">
      <c r="A38" s="31">
        <v>35</v>
      </c>
      <c r="B38" s="31" t="s">
        <v>256</v>
      </c>
      <c r="C38" s="32"/>
      <c r="D38" s="32"/>
      <c r="E38" s="32"/>
      <c r="F38" s="32"/>
      <c r="G38" s="32"/>
      <c r="H38" s="32"/>
      <c r="I38" s="32"/>
      <c r="J38" s="32"/>
      <c r="K38" s="32"/>
      <c r="L38" s="32"/>
      <c r="M38" s="32"/>
      <c r="N38" s="32"/>
      <c r="O38" s="32"/>
      <c r="P38" s="32"/>
      <c r="Q38" s="32"/>
      <c r="R38" s="32"/>
      <c r="S38" s="32"/>
      <c r="T38" s="32"/>
      <c r="U38" s="33"/>
    </row>
    <row r="39" spans="1:21" ht="22.05" customHeight="1" x14ac:dyDescent="0.3">
      <c r="A39" s="31">
        <v>36</v>
      </c>
      <c r="B39" s="31" t="s">
        <v>257</v>
      </c>
      <c r="C39" s="34"/>
      <c r="D39" s="34"/>
      <c r="E39" s="34"/>
      <c r="F39" s="34"/>
      <c r="G39" s="34"/>
      <c r="H39" s="34"/>
      <c r="I39" s="34"/>
      <c r="J39" s="34"/>
      <c r="K39" s="34"/>
      <c r="L39" s="34"/>
      <c r="M39" s="34"/>
      <c r="N39" s="34"/>
      <c r="O39" s="34"/>
      <c r="P39" s="34"/>
      <c r="Q39" s="34"/>
      <c r="R39" s="34"/>
      <c r="S39" s="34"/>
      <c r="T39" s="34"/>
      <c r="U39" s="33"/>
    </row>
    <row r="40" spans="1:21" ht="22.05" customHeight="1" x14ac:dyDescent="0.3">
      <c r="A40" s="31">
        <v>37</v>
      </c>
      <c r="B40" s="31" t="s">
        <v>258</v>
      </c>
      <c r="C40" s="32"/>
      <c r="D40" s="32"/>
      <c r="E40" s="32"/>
      <c r="F40" s="32"/>
      <c r="G40" s="32"/>
      <c r="H40" s="32"/>
      <c r="I40" s="32"/>
      <c r="J40" s="32"/>
      <c r="K40" s="32"/>
      <c r="L40" s="32"/>
      <c r="M40" s="32"/>
      <c r="N40" s="32"/>
      <c r="O40" s="32"/>
      <c r="P40" s="32"/>
      <c r="Q40" s="32"/>
      <c r="R40" s="32"/>
      <c r="S40" s="32"/>
      <c r="T40" s="32"/>
      <c r="U40" s="33"/>
    </row>
    <row r="41" spans="1:21" ht="22.05" customHeight="1" x14ac:dyDescent="0.3">
      <c r="A41" s="31">
        <v>38</v>
      </c>
      <c r="B41" s="31" t="s">
        <v>259</v>
      </c>
      <c r="C41" s="34"/>
      <c r="D41" s="34"/>
      <c r="E41" s="34"/>
      <c r="F41" s="34"/>
      <c r="G41" s="34"/>
      <c r="H41" s="34"/>
      <c r="I41" s="34"/>
      <c r="J41" s="34"/>
      <c r="K41" s="34"/>
      <c r="L41" s="34"/>
      <c r="M41" s="34"/>
      <c r="N41" s="34"/>
      <c r="O41" s="34"/>
      <c r="P41" s="34"/>
      <c r="Q41" s="34"/>
      <c r="R41" s="34"/>
      <c r="S41" s="34"/>
      <c r="T41" s="34"/>
      <c r="U41" s="33"/>
    </row>
    <row r="42" spans="1:21" ht="22.05" customHeight="1" x14ac:dyDescent="0.3">
      <c r="A42" s="31">
        <v>39</v>
      </c>
      <c r="B42" s="31" t="s">
        <v>260</v>
      </c>
      <c r="C42" s="32"/>
      <c r="D42" s="32"/>
      <c r="E42" s="32"/>
      <c r="F42" s="32"/>
      <c r="G42" s="32"/>
      <c r="H42" s="32"/>
      <c r="I42" s="32"/>
      <c r="J42" s="32"/>
      <c r="K42" s="32"/>
      <c r="L42" s="32"/>
      <c r="M42" s="32"/>
      <c r="N42" s="32"/>
      <c r="O42" s="32"/>
      <c r="P42" s="32"/>
      <c r="Q42" s="32"/>
      <c r="R42" s="32"/>
      <c r="S42" s="32"/>
      <c r="T42" s="32"/>
      <c r="U42" s="33"/>
    </row>
    <row r="43" spans="1:21" ht="22.05" customHeight="1" x14ac:dyDescent="0.3">
      <c r="A43" s="31">
        <v>40</v>
      </c>
      <c r="B43" s="31" t="s">
        <v>261</v>
      </c>
      <c r="C43" s="34"/>
      <c r="D43" s="34"/>
      <c r="E43" s="34"/>
      <c r="F43" s="34"/>
      <c r="G43" s="34"/>
      <c r="H43" s="34"/>
      <c r="I43" s="34"/>
      <c r="J43" s="34"/>
      <c r="K43" s="34"/>
      <c r="L43" s="34"/>
      <c r="M43" s="34"/>
      <c r="N43" s="34"/>
      <c r="O43" s="34"/>
      <c r="P43" s="34"/>
      <c r="Q43" s="34"/>
      <c r="R43" s="34"/>
      <c r="S43" s="34"/>
      <c r="T43" s="34"/>
      <c r="U43" s="33"/>
    </row>
    <row r="44" spans="1:21" ht="22.05" customHeight="1" x14ac:dyDescent="0.3">
      <c r="A44" s="31">
        <v>41</v>
      </c>
      <c r="B44" s="31" t="s">
        <v>262</v>
      </c>
      <c r="C44" s="32"/>
      <c r="D44" s="32"/>
      <c r="E44" s="32"/>
      <c r="F44" s="32"/>
      <c r="G44" s="32"/>
      <c r="H44" s="32"/>
      <c r="I44" s="32"/>
      <c r="J44" s="32"/>
      <c r="K44" s="32"/>
      <c r="L44" s="32"/>
      <c r="M44" s="32"/>
      <c r="N44" s="32"/>
      <c r="O44" s="32"/>
      <c r="P44" s="32"/>
      <c r="Q44" s="32"/>
      <c r="R44" s="32"/>
      <c r="S44" s="32"/>
      <c r="T44" s="32"/>
      <c r="U44" s="33"/>
    </row>
    <row r="45" spans="1:21" ht="22.05" customHeight="1" x14ac:dyDescent="0.3">
      <c r="A45" s="31">
        <v>42</v>
      </c>
      <c r="B45" s="31" t="s">
        <v>263</v>
      </c>
      <c r="C45" s="34"/>
      <c r="D45" s="34"/>
      <c r="E45" s="34"/>
      <c r="F45" s="34"/>
      <c r="G45" s="34"/>
      <c r="H45" s="34"/>
      <c r="I45" s="34"/>
      <c r="J45" s="34"/>
      <c r="K45" s="34"/>
      <c r="L45" s="34"/>
      <c r="M45" s="34"/>
      <c r="N45" s="34"/>
      <c r="O45" s="34"/>
      <c r="P45" s="34"/>
      <c r="Q45" s="34"/>
      <c r="R45" s="34"/>
      <c r="S45" s="34"/>
      <c r="T45" s="34"/>
      <c r="U45" s="33"/>
    </row>
    <row r="46" spans="1:21" ht="22.05" customHeight="1" x14ac:dyDescent="0.3">
      <c r="A46" s="31">
        <v>43</v>
      </c>
      <c r="B46" s="31" t="s">
        <v>264</v>
      </c>
      <c r="C46" s="32"/>
      <c r="D46" s="32"/>
      <c r="E46" s="32"/>
      <c r="F46" s="32"/>
      <c r="G46" s="32"/>
      <c r="H46" s="32"/>
      <c r="I46" s="32"/>
      <c r="J46" s="32"/>
      <c r="K46" s="32"/>
      <c r="L46" s="32"/>
      <c r="M46" s="32"/>
      <c r="N46" s="32"/>
      <c r="O46" s="32"/>
      <c r="P46" s="32"/>
      <c r="Q46" s="32"/>
      <c r="R46" s="32"/>
      <c r="S46" s="32"/>
      <c r="T46" s="32"/>
      <c r="U46" s="33"/>
    </row>
    <row r="47" spans="1:21" ht="22.05" customHeight="1" x14ac:dyDescent="0.3">
      <c r="A47" s="31">
        <v>44</v>
      </c>
      <c r="B47" s="31" t="s">
        <v>265</v>
      </c>
      <c r="C47" s="34"/>
      <c r="D47" s="34"/>
      <c r="E47" s="34"/>
      <c r="F47" s="34"/>
      <c r="G47" s="34"/>
      <c r="H47" s="34"/>
      <c r="I47" s="34"/>
      <c r="J47" s="34"/>
      <c r="K47" s="34"/>
      <c r="L47" s="34"/>
      <c r="M47" s="34"/>
      <c r="N47" s="34"/>
      <c r="O47" s="34"/>
      <c r="P47" s="34"/>
      <c r="Q47" s="34"/>
      <c r="R47" s="34"/>
      <c r="S47" s="34"/>
      <c r="T47" s="34"/>
      <c r="U47" s="33"/>
    </row>
    <row r="48" spans="1:21" ht="22.05" customHeight="1" x14ac:dyDescent="0.3">
      <c r="A48" s="31">
        <v>45</v>
      </c>
      <c r="B48" s="31" t="s">
        <v>266</v>
      </c>
      <c r="C48" s="32"/>
      <c r="D48" s="32"/>
      <c r="E48" s="32"/>
      <c r="F48" s="32"/>
      <c r="G48" s="32"/>
      <c r="H48" s="32"/>
      <c r="I48" s="32"/>
      <c r="J48" s="32"/>
      <c r="K48" s="32"/>
      <c r="L48" s="32"/>
      <c r="M48" s="32"/>
      <c r="N48" s="32"/>
      <c r="O48" s="32"/>
      <c r="P48" s="32"/>
      <c r="Q48" s="32"/>
      <c r="R48" s="32"/>
      <c r="S48" s="32"/>
      <c r="T48" s="32"/>
      <c r="U48" s="33"/>
    </row>
    <row r="49" spans="1:21" ht="22.05" customHeight="1" x14ac:dyDescent="0.3">
      <c r="A49" s="31">
        <v>46</v>
      </c>
      <c r="B49" s="31" t="s">
        <v>267</v>
      </c>
      <c r="C49" s="34"/>
      <c r="D49" s="34"/>
      <c r="E49" s="34"/>
      <c r="F49" s="34"/>
      <c r="G49" s="34"/>
      <c r="H49" s="34"/>
      <c r="I49" s="34"/>
      <c r="J49" s="34"/>
      <c r="K49" s="34"/>
      <c r="L49" s="34"/>
      <c r="M49" s="34"/>
      <c r="N49" s="34"/>
      <c r="O49" s="34"/>
      <c r="P49" s="34"/>
      <c r="Q49" s="34"/>
      <c r="R49" s="34"/>
      <c r="S49" s="34"/>
      <c r="T49" s="34"/>
      <c r="U49" s="33"/>
    </row>
    <row r="50" spans="1:21" ht="22.05" customHeight="1" x14ac:dyDescent="0.3">
      <c r="A50" s="31">
        <v>47</v>
      </c>
      <c r="B50" s="31" t="s">
        <v>268</v>
      </c>
      <c r="C50" s="32"/>
      <c r="D50" s="32"/>
      <c r="E50" s="32"/>
      <c r="F50" s="32"/>
      <c r="G50" s="32"/>
      <c r="H50" s="32"/>
      <c r="I50" s="32"/>
      <c r="J50" s="32"/>
      <c r="K50" s="32"/>
      <c r="L50" s="32"/>
      <c r="M50" s="32"/>
      <c r="N50" s="32"/>
      <c r="O50" s="32"/>
      <c r="P50" s="32"/>
      <c r="Q50" s="32"/>
      <c r="R50" s="32"/>
      <c r="S50" s="32"/>
      <c r="T50" s="32"/>
      <c r="U50" s="33"/>
    </row>
    <row r="51" spans="1:21" ht="22.05" customHeight="1" x14ac:dyDescent="0.3">
      <c r="A51" s="31">
        <v>48</v>
      </c>
      <c r="B51" s="31" t="s">
        <v>269</v>
      </c>
      <c r="C51" s="34"/>
      <c r="D51" s="34"/>
      <c r="E51" s="34"/>
      <c r="F51" s="34"/>
      <c r="G51" s="34"/>
      <c r="H51" s="34"/>
      <c r="I51" s="34"/>
      <c r="J51" s="34"/>
      <c r="K51" s="34"/>
      <c r="L51" s="34"/>
      <c r="M51" s="34"/>
      <c r="N51" s="34"/>
      <c r="O51" s="34"/>
      <c r="P51" s="34"/>
      <c r="Q51" s="34"/>
      <c r="R51" s="34"/>
      <c r="S51" s="34"/>
      <c r="T51" s="34"/>
      <c r="U51" s="33"/>
    </row>
    <row r="52" spans="1:21" ht="22.05" customHeight="1" x14ac:dyDescent="0.3">
      <c r="A52" s="31">
        <v>49</v>
      </c>
      <c r="B52" s="31" t="s">
        <v>270</v>
      </c>
      <c r="C52" s="32"/>
      <c r="D52" s="32"/>
      <c r="E52" s="32"/>
      <c r="F52" s="32"/>
      <c r="G52" s="32"/>
      <c r="H52" s="32"/>
      <c r="I52" s="32"/>
      <c r="J52" s="32"/>
      <c r="K52" s="32"/>
      <c r="L52" s="32"/>
      <c r="M52" s="32"/>
      <c r="N52" s="32"/>
      <c r="O52" s="32"/>
      <c r="P52" s="32"/>
      <c r="Q52" s="32"/>
      <c r="R52" s="32"/>
      <c r="S52" s="32"/>
      <c r="T52" s="32"/>
      <c r="U52" s="33"/>
    </row>
    <row r="53" spans="1:21" ht="22.05" customHeight="1" x14ac:dyDescent="0.3">
      <c r="A53" s="31">
        <v>50</v>
      </c>
      <c r="B53" s="31" t="s">
        <v>271</v>
      </c>
      <c r="C53" s="34"/>
      <c r="D53" s="34"/>
      <c r="E53" s="34"/>
      <c r="F53" s="34"/>
      <c r="G53" s="34"/>
      <c r="H53" s="34"/>
      <c r="I53" s="34"/>
      <c r="J53" s="34"/>
      <c r="K53" s="34"/>
      <c r="L53" s="34"/>
      <c r="M53" s="34"/>
      <c r="N53" s="34"/>
      <c r="O53" s="34"/>
      <c r="P53" s="34"/>
      <c r="Q53" s="34"/>
      <c r="R53" s="34"/>
      <c r="S53" s="34"/>
      <c r="T53" s="34"/>
      <c r="U53" s="33"/>
    </row>
    <row r="54" spans="1:21" ht="22.05" customHeight="1" x14ac:dyDescent="0.3">
      <c r="A54" s="31">
        <v>51</v>
      </c>
      <c r="B54" s="31" t="s">
        <v>272</v>
      </c>
      <c r="C54" s="32"/>
      <c r="D54" s="32"/>
      <c r="E54" s="32"/>
      <c r="F54" s="32"/>
      <c r="G54" s="32"/>
      <c r="H54" s="32"/>
      <c r="I54" s="32"/>
      <c r="J54" s="32"/>
      <c r="K54" s="32"/>
      <c r="L54" s="32"/>
      <c r="M54" s="32"/>
      <c r="N54" s="32"/>
      <c r="O54" s="32"/>
      <c r="P54" s="32"/>
      <c r="Q54" s="32"/>
      <c r="R54" s="32"/>
      <c r="S54" s="32"/>
      <c r="T54" s="32"/>
      <c r="U54" s="33"/>
    </row>
    <row r="55" spans="1:21" ht="22.05" customHeight="1" x14ac:dyDescent="0.3">
      <c r="A55" s="31">
        <v>52</v>
      </c>
      <c r="B55" s="31" t="s">
        <v>273</v>
      </c>
      <c r="C55" s="34"/>
      <c r="D55" s="34"/>
      <c r="E55" s="34"/>
      <c r="F55" s="34"/>
      <c r="G55" s="34"/>
      <c r="H55" s="34"/>
      <c r="I55" s="34"/>
      <c r="J55" s="34"/>
      <c r="K55" s="34"/>
      <c r="L55" s="34"/>
      <c r="M55" s="34"/>
      <c r="N55" s="34"/>
      <c r="O55" s="34"/>
      <c r="P55" s="34"/>
      <c r="Q55" s="34"/>
      <c r="R55" s="34"/>
      <c r="S55" s="34"/>
      <c r="T55" s="34"/>
      <c r="U55" s="33"/>
    </row>
    <row r="56" spans="1:21" ht="22.05" customHeight="1" x14ac:dyDescent="0.3">
      <c r="A56" s="31">
        <v>53</v>
      </c>
      <c r="B56" s="31" t="s">
        <v>274</v>
      </c>
      <c r="C56" s="32"/>
      <c r="D56" s="32"/>
      <c r="E56" s="32"/>
      <c r="F56" s="32"/>
      <c r="G56" s="32"/>
      <c r="H56" s="32"/>
      <c r="I56" s="32"/>
      <c r="J56" s="32"/>
      <c r="K56" s="32"/>
      <c r="L56" s="32"/>
      <c r="M56" s="32"/>
      <c r="N56" s="32"/>
      <c r="O56" s="32"/>
      <c r="P56" s="32"/>
      <c r="Q56" s="32"/>
      <c r="R56" s="32"/>
      <c r="S56" s="32"/>
      <c r="T56" s="32"/>
      <c r="U56" s="33"/>
    </row>
    <row r="57" spans="1:21" ht="22.05" customHeight="1" x14ac:dyDescent="0.3">
      <c r="A57" s="31">
        <v>54</v>
      </c>
      <c r="B57" s="31" t="s">
        <v>275</v>
      </c>
      <c r="C57" s="34"/>
      <c r="D57" s="34"/>
      <c r="E57" s="34"/>
      <c r="F57" s="34"/>
      <c r="G57" s="34"/>
      <c r="H57" s="34"/>
      <c r="I57" s="34"/>
      <c r="J57" s="34"/>
      <c r="K57" s="34"/>
      <c r="L57" s="34"/>
      <c r="M57" s="34"/>
      <c r="N57" s="34"/>
      <c r="O57" s="34"/>
      <c r="P57" s="34"/>
      <c r="Q57" s="34"/>
      <c r="R57" s="34"/>
      <c r="S57" s="34"/>
      <c r="T57" s="34"/>
      <c r="U57" s="33"/>
    </row>
    <row r="58" spans="1:21" ht="22.05" customHeight="1" x14ac:dyDescent="0.3">
      <c r="A58" s="31">
        <v>55</v>
      </c>
      <c r="B58" s="31" t="s">
        <v>276</v>
      </c>
      <c r="C58" s="32"/>
      <c r="D58" s="32"/>
      <c r="E58" s="32"/>
      <c r="F58" s="32"/>
      <c r="G58" s="32"/>
      <c r="H58" s="32"/>
      <c r="I58" s="32"/>
      <c r="J58" s="32"/>
      <c r="K58" s="32"/>
      <c r="L58" s="32"/>
      <c r="M58" s="32"/>
      <c r="N58" s="32"/>
      <c r="O58" s="32"/>
      <c r="P58" s="32"/>
      <c r="Q58" s="32"/>
      <c r="R58" s="32"/>
      <c r="S58" s="32"/>
      <c r="T58" s="32"/>
      <c r="U58" s="33"/>
    </row>
    <row r="59" spans="1:21" ht="22.05" customHeight="1" x14ac:dyDescent="0.3">
      <c r="A59" s="31">
        <v>56</v>
      </c>
      <c r="B59" s="31" t="s">
        <v>277</v>
      </c>
      <c r="C59" s="34"/>
      <c r="D59" s="34"/>
      <c r="E59" s="34"/>
      <c r="F59" s="34"/>
      <c r="G59" s="34"/>
      <c r="H59" s="34"/>
      <c r="I59" s="34"/>
      <c r="J59" s="34"/>
      <c r="K59" s="34"/>
      <c r="L59" s="34"/>
      <c r="M59" s="34"/>
      <c r="N59" s="34"/>
      <c r="O59" s="34"/>
      <c r="P59" s="34"/>
      <c r="Q59" s="34"/>
      <c r="R59" s="34"/>
      <c r="S59" s="34"/>
      <c r="T59" s="34"/>
      <c r="U59" s="33"/>
    </row>
    <row r="60" spans="1:21" ht="22.05" customHeight="1" x14ac:dyDescent="0.3">
      <c r="A60" s="31">
        <v>57</v>
      </c>
      <c r="B60" s="31" t="s">
        <v>278</v>
      </c>
      <c r="C60" s="32"/>
      <c r="D60" s="32"/>
      <c r="E60" s="32"/>
      <c r="F60" s="32"/>
      <c r="G60" s="32"/>
      <c r="H60" s="32"/>
      <c r="I60" s="32"/>
      <c r="J60" s="32"/>
      <c r="K60" s="32"/>
      <c r="L60" s="32"/>
      <c r="M60" s="32"/>
      <c r="N60" s="32"/>
      <c r="O60" s="32"/>
      <c r="P60" s="32"/>
      <c r="Q60" s="32"/>
      <c r="R60" s="32"/>
      <c r="S60" s="32"/>
      <c r="T60" s="32"/>
      <c r="U60" s="33"/>
    </row>
    <row r="61" spans="1:21" ht="22.05" customHeight="1" x14ac:dyDescent="0.3">
      <c r="A61" s="31">
        <v>58</v>
      </c>
      <c r="B61" s="31" t="s">
        <v>279</v>
      </c>
      <c r="C61" s="34"/>
      <c r="D61" s="34"/>
      <c r="E61" s="34"/>
      <c r="F61" s="34"/>
      <c r="G61" s="34"/>
      <c r="H61" s="34"/>
      <c r="I61" s="34"/>
      <c r="J61" s="34"/>
      <c r="K61" s="34"/>
      <c r="L61" s="34"/>
      <c r="M61" s="34"/>
      <c r="N61" s="34"/>
      <c r="O61" s="34"/>
      <c r="P61" s="34"/>
      <c r="Q61" s="34"/>
      <c r="R61" s="34"/>
      <c r="S61" s="34"/>
      <c r="T61" s="34"/>
      <c r="U61" s="33"/>
    </row>
    <row r="62" spans="1:21" ht="22.05" customHeight="1" x14ac:dyDescent="0.3">
      <c r="A62" s="31">
        <v>59</v>
      </c>
      <c r="B62" s="31" t="s">
        <v>280</v>
      </c>
      <c r="C62" s="32"/>
      <c r="D62" s="32"/>
      <c r="E62" s="32"/>
      <c r="F62" s="32"/>
      <c r="G62" s="32"/>
      <c r="H62" s="32"/>
      <c r="I62" s="32"/>
      <c r="J62" s="32"/>
      <c r="K62" s="32"/>
      <c r="L62" s="32"/>
      <c r="M62" s="32"/>
      <c r="N62" s="32"/>
      <c r="O62" s="32"/>
      <c r="P62" s="32"/>
      <c r="Q62" s="32"/>
      <c r="R62" s="32"/>
      <c r="S62" s="32"/>
      <c r="T62" s="32"/>
      <c r="U62" s="33"/>
    </row>
    <row r="63" spans="1:21" ht="22.05" customHeight="1" x14ac:dyDescent="0.3">
      <c r="A63" s="31">
        <v>60</v>
      </c>
      <c r="B63" s="31" t="s">
        <v>281</v>
      </c>
      <c r="C63" s="34"/>
      <c r="D63" s="34"/>
      <c r="E63" s="34"/>
      <c r="F63" s="34"/>
      <c r="G63" s="34"/>
      <c r="H63" s="34"/>
      <c r="I63" s="34"/>
      <c r="J63" s="34"/>
      <c r="K63" s="34"/>
      <c r="L63" s="34"/>
      <c r="M63" s="34"/>
      <c r="N63" s="34"/>
      <c r="O63" s="34"/>
      <c r="P63" s="34"/>
      <c r="Q63" s="34"/>
      <c r="R63" s="34"/>
      <c r="S63" s="34"/>
      <c r="T63" s="34"/>
      <c r="U63" s="33"/>
    </row>
    <row r="64" spans="1:21" ht="22.05" customHeight="1" x14ac:dyDescent="0.3">
      <c r="A64" s="31">
        <v>61</v>
      </c>
      <c r="B64" s="31" t="s">
        <v>282</v>
      </c>
      <c r="C64" s="32"/>
      <c r="D64" s="32"/>
      <c r="E64" s="32"/>
      <c r="F64" s="32"/>
      <c r="G64" s="32"/>
      <c r="H64" s="32"/>
      <c r="I64" s="32"/>
      <c r="J64" s="32"/>
      <c r="K64" s="32"/>
      <c r="L64" s="32"/>
      <c r="M64" s="32"/>
      <c r="N64" s="32"/>
      <c r="O64" s="32"/>
      <c r="P64" s="32"/>
      <c r="Q64" s="32"/>
      <c r="R64" s="32"/>
      <c r="S64" s="32"/>
      <c r="T64" s="32"/>
      <c r="U64" s="33"/>
    </row>
    <row r="65" spans="1:21" ht="22.05" customHeight="1" x14ac:dyDescent="0.3">
      <c r="A65" s="31">
        <v>62</v>
      </c>
      <c r="B65" s="31" t="s">
        <v>283</v>
      </c>
      <c r="C65" s="34"/>
      <c r="D65" s="34"/>
      <c r="E65" s="34"/>
      <c r="F65" s="34"/>
      <c r="G65" s="34"/>
      <c r="H65" s="34"/>
      <c r="I65" s="34"/>
      <c r="J65" s="34"/>
      <c r="K65" s="34"/>
      <c r="L65" s="34"/>
      <c r="M65" s="34"/>
      <c r="N65" s="34"/>
      <c r="O65" s="34"/>
      <c r="P65" s="34"/>
      <c r="Q65" s="34"/>
      <c r="R65" s="34"/>
      <c r="S65" s="34"/>
      <c r="T65" s="34"/>
      <c r="U65" s="33"/>
    </row>
    <row r="66" spans="1:21" ht="22.05" customHeight="1" x14ac:dyDescent="0.3">
      <c r="A66" s="31">
        <v>63</v>
      </c>
      <c r="B66" s="31" t="s">
        <v>284</v>
      </c>
      <c r="C66" s="32"/>
      <c r="D66" s="32"/>
      <c r="E66" s="32"/>
      <c r="F66" s="32"/>
      <c r="G66" s="32"/>
      <c r="H66" s="32"/>
      <c r="I66" s="32"/>
      <c r="J66" s="32"/>
      <c r="K66" s="32"/>
      <c r="L66" s="32"/>
      <c r="M66" s="32"/>
      <c r="N66" s="32"/>
      <c r="O66" s="32"/>
      <c r="P66" s="32"/>
      <c r="Q66" s="32"/>
      <c r="R66" s="32"/>
      <c r="S66" s="32"/>
      <c r="T66" s="32"/>
      <c r="U66" s="33"/>
    </row>
    <row r="67" spans="1:21" ht="22.05" customHeight="1" x14ac:dyDescent="0.3">
      <c r="A67" s="31">
        <v>64</v>
      </c>
      <c r="B67" s="31" t="s">
        <v>285</v>
      </c>
      <c r="C67" s="34"/>
      <c r="D67" s="34"/>
      <c r="E67" s="34"/>
      <c r="F67" s="34"/>
      <c r="G67" s="34"/>
      <c r="H67" s="34"/>
      <c r="I67" s="34"/>
      <c r="J67" s="34"/>
      <c r="K67" s="34"/>
      <c r="L67" s="34"/>
      <c r="M67" s="34"/>
      <c r="N67" s="34"/>
      <c r="O67" s="34"/>
      <c r="P67" s="34"/>
      <c r="Q67" s="34"/>
      <c r="R67" s="34"/>
      <c r="S67" s="34"/>
      <c r="T67" s="34"/>
      <c r="U67" s="33"/>
    </row>
    <row r="68" spans="1:21" ht="22.05" customHeight="1" x14ac:dyDescent="0.3">
      <c r="A68" s="31">
        <v>65</v>
      </c>
      <c r="B68" s="31" t="s">
        <v>286</v>
      </c>
      <c r="C68" s="32"/>
      <c r="D68" s="32"/>
      <c r="E68" s="32"/>
      <c r="F68" s="32"/>
      <c r="G68" s="32"/>
      <c r="H68" s="32"/>
      <c r="I68" s="32"/>
      <c r="J68" s="32"/>
      <c r="K68" s="32"/>
      <c r="L68" s="32"/>
      <c r="M68" s="32"/>
      <c r="N68" s="32"/>
      <c r="O68" s="32"/>
      <c r="P68" s="32"/>
      <c r="Q68" s="32"/>
      <c r="R68" s="32"/>
      <c r="S68" s="32"/>
      <c r="T68" s="32"/>
      <c r="U68" s="33"/>
    </row>
    <row r="69" spans="1:21" ht="22.05" customHeight="1" x14ac:dyDescent="0.3">
      <c r="A69" s="31">
        <v>66</v>
      </c>
      <c r="B69" s="31" t="s">
        <v>287</v>
      </c>
      <c r="C69" s="34"/>
      <c r="D69" s="34"/>
      <c r="E69" s="34"/>
      <c r="F69" s="34"/>
      <c r="G69" s="34"/>
      <c r="H69" s="34"/>
      <c r="I69" s="34"/>
      <c r="J69" s="34"/>
      <c r="K69" s="34"/>
      <c r="L69" s="34"/>
      <c r="M69" s="34"/>
      <c r="N69" s="34"/>
      <c r="O69" s="34"/>
      <c r="P69" s="34"/>
      <c r="Q69" s="34"/>
      <c r="R69" s="34"/>
      <c r="S69" s="34"/>
      <c r="T69" s="34"/>
      <c r="U69" s="33"/>
    </row>
    <row r="70" spans="1:21" ht="22.05" customHeight="1" x14ac:dyDescent="0.3">
      <c r="A70" s="31">
        <v>67</v>
      </c>
      <c r="B70" s="31" t="s">
        <v>288</v>
      </c>
      <c r="C70" s="32"/>
      <c r="D70" s="32"/>
      <c r="E70" s="32"/>
      <c r="F70" s="32"/>
      <c r="G70" s="32"/>
      <c r="H70" s="32"/>
      <c r="I70" s="32"/>
      <c r="J70" s="32"/>
      <c r="K70" s="32"/>
      <c r="L70" s="32"/>
      <c r="M70" s="32"/>
      <c r="N70" s="32"/>
      <c r="O70" s="32"/>
      <c r="P70" s="32"/>
      <c r="Q70" s="32"/>
      <c r="R70" s="32"/>
      <c r="S70" s="32"/>
      <c r="T70" s="32"/>
      <c r="U70" s="33"/>
    </row>
    <row r="71" spans="1:21" ht="22.05" customHeight="1" x14ac:dyDescent="0.3">
      <c r="A71" s="31">
        <v>68</v>
      </c>
      <c r="B71" s="31" t="s">
        <v>289</v>
      </c>
      <c r="C71" s="34"/>
      <c r="D71" s="34"/>
      <c r="E71" s="34"/>
      <c r="F71" s="34"/>
      <c r="G71" s="34"/>
      <c r="H71" s="34"/>
      <c r="I71" s="34"/>
      <c r="J71" s="34"/>
      <c r="K71" s="34"/>
      <c r="L71" s="34"/>
      <c r="M71" s="34"/>
      <c r="N71" s="34"/>
      <c r="O71" s="34"/>
      <c r="P71" s="34"/>
      <c r="Q71" s="34"/>
      <c r="R71" s="34"/>
      <c r="S71" s="34"/>
      <c r="T71" s="34"/>
      <c r="U71" s="33"/>
    </row>
    <row r="72" spans="1:21" ht="22.05" customHeight="1" x14ac:dyDescent="0.3">
      <c r="A72" s="31">
        <v>69</v>
      </c>
      <c r="B72" s="31" t="s">
        <v>290</v>
      </c>
      <c r="C72" s="32"/>
      <c r="D72" s="32"/>
      <c r="E72" s="32"/>
      <c r="F72" s="32"/>
      <c r="G72" s="32"/>
      <c r="H72" s="32"/>
      <c r="I72" s="32"/>
      <c r="J72" s="32"/>
      <c r="K72" s="32"/>
      <c r="L72" s="32"/>
      <c r="M72" s="32"/>
      <c r="N72" s="32"/>
      <c r="O72" s="32"/>
      <c r="P72" s="32"/>
      <c r="Q72" s="32"/>
      <c r="R72" s="32"/>
      <c r="S72" s="32"/>
      <c r="T72" s="32"/>
      <c r="U72" s="33"/>
    </row>
    <row r="73" spans="1:21" ht="22.05" customHeight="1" x14ac:dyDescent="0.3">
      <c r="A73" s="31">
        <v>70</v>
      </c>
      <c r="B73" s="31" t="s">
        <v>291</v>
      </c>
      <c r="C73" s="34"/>
      <c r="D73" s="34"/>
      <c r="E73" s="34"/>
      <c r="F73" s="34"/>
      <c r="G73" s="34"/>
      <c r="H73" s="34"/>
      <c r="I73" s="34"/>
      <c r="J73" s="34"/>
      <c r="K73" s="34"/>
      <c r="L73" s="34"/>
      <c r="M73" s="34"/>
      <c r="N73" s="34"/>
      <c r="O73" s="34"/>
      <c r="P73" s="34"/>
      <c r="Q73" s="34"/>
      <c r="R73" s="34"/>
      <c r="S73" s="34"/>
      <c r="T73" s="34"/>
      <c r="U73" s="33"/>
    </row>
    <row r="74" spans="1:21" ht="22.05" customHeight="1" x14ac:dyDescent="0.3">
      <c r="A74" s="31">
        <v>71</v>
      </c>
      <c r="B74" s="31" t="s">
        <v>292</v>
      </c>
      <c r="C74" s="32"/>
      <c r="D74" s="32"/>
      <c r="E74" s="32"/>
      <c r="F74" s="32"/>
      <c r="G74" s="32"/>
      <c r="H74" s="32"/>
      <c r="I74" s="32"/>
      <c r="J74" s="32"/>
      <c r="K74" s="32"/>
      <c r="L74" s="32"/>
      <c r="M74" s="32"/>
      <c r="N74" s="32"/>
      <c r="O74" s="32"/>
      <c r="P74" s="32"/>
      <c r="Q74" s="32"/>
      <c r="R74" s="32"/>
      <c r="S74" s="32"/>
      <c r="T74" s="32"/>
      <c r="U74" s="33"/>
    </row>
    <row r="75" spans="1:21" ht="22.05" customHeight="1" x14ac:dyDescent="0.3">
      <c r="A75" s="31">
        <v>72</v>
      </c>
      <c r="B75" s="31" t="s">
        <v>293</v>
      </c>
      <c r="C75" s="34"/>
      <c r="D75" s="34"/>
      <c r="E75" s="34"/>
      <c r="F75" s="34"/>
      <c r="G75" s="34"/>
      <c r="H75" s="34"/>
      <c r="I75" s="34"/>
      <c r="J75" s="34"/>
      <c r="K75" s="34"/>
      <c r="L75" s="34"/>
      <c r="M75" s="34"/>
      <c r="N75" s="34"/>
      <c r="O75" s="34"/>
      <c r="P75" s="34"/>
      <c r="Q75" s="34"/>
      <c r="R75" s="34"/>
      <c r="S75" s="34"/>
      <c r="T75" s="34"/>
      <c r="U75" s="33"/>
    </row>
    <row r="76" spans="1:21" ht="22.05" customHeight="1" x14ac:dyDescent="0.3">
      <c r="A76" s="31">
        <v>73</v>
      </c>
      <c r="B76" s="31" t="s">
        <v>294</v>
      </c>
      <c r="C76" s="32"/>
      <c r="D76" s="32"/>
      <c r="E76" s="32"/>
      <c r="F76" s="32"/>
      <c r="G76" s="32"/>
      <c r="H76" s="32"/>
      <c r="I76" s="32"/>
      <c r="J76" s="32"/>
      <c r="K76" s="32"/>
      <c r="L76" s="32"/>
      <c r="M76" s="32"/>
      <c r="N76" s="32"/>
      <c r="O76" s="32"/>
      <c r="P76" s="32"/>
      <c r="Q76" s="32"/>
      <c r="R76" s="32"/>
      <c r="S76" s="32"/>
      <c r="T76" s="32"/>
      <c r="U76" s="33"/>
    </row>
    <row r="77" spans="1:21" ht="22.05" customHeight="1" x14ac:dyDescent="0.3">
      <c r="A77" s="31">
        <v>74</v>
      </c>
      <c r="B77" s="31" t="s">
        <v>295</v>
      </c>
      <c r="C77" s="34"/>
      <c r="D77" s="34"/>
      <c r="E77" s="34"/>
      <c r="F77" s="34"/>
      <c r="G77" s="34"/>
      <c r="H77" s="34"/>
      <c r="I77" s="34"/>
      <c r="J77" s="34"/>
      <c r="K77" s="34"/>
      <c r="L77" s="34"/>
      <c r="M77" s="34"/>
      <c r="N77" s="34"/>
      <c r="O77" s="34"/>
      <c r="P77" s="34"/>
      <c r="Q77" s="34"/>
      <c r="R77" s="34"/>
      <c r="S77" s="34"/>
      <c r="T77" s="34"/>
      <c r="U77" s="33"/>
    </row>
    <row r="78" spans="1:21" ht="22.05" customHeight="1" x14ac:dyDescent="0.3">
      <c r="A78" s="31">
        <v>75</v>
      </c>
      <c r="B78" s="31" t="s">
        <v>296</v>
      </c>
      <c r="C78" s="32"/>
      <c r="D78" s="32"/>
      <c r="E78" s="32"/>
      <c r="F78" s="32"/>
      <c r="G78" s="32"/>
      <c r="H78" s="32"/>
      <c r="I78" s="32"/>
      <c r="J78" s="32"/>
      <c r="K78" s="32"/>
      <c r="L78" s="32"/>
      <c r="M78" s="32"/>
      <c r="N78" s="32"/>
      <c r="O78" s="32"/>
      <c r="P78" s="32"/>
      <c r="Q78" s="32"/>
      <c r="R78" s="32"/>
      <c r="S78" s="32"/>
      <c r="T78" s="32"/>
      <c r="U78" s="33"/>
    </row>
    <row r="79" spans="1:21" ht="22.05" customHeight="1" x14ac:dyDescent="0.3">
      <c r="A79" s="31">
        <v>76</v>
      </c>
      <c r="B79" s="31" t="s">
        <v>297</v>
      </c>
      <c r="C79" s="34"/>
      <c r="D79" s="34"/>
      <c r="E79" s="34"/>
      <c r="F79" s="34"/>
      <c r="G79" s="34"/>
      <c r="H79" s="34"/>
      <c r="I79" s="34"/>
      <c r="J79" s="34"/>
      <c r="K79" s="34"/>
      <c r="L79" s="34"/>
      <c r="M79" s="34"/>
      <c r="N79" s="34"/>
      <c r="O79" s="34"/>
      <c r="P79" s="34"/>
      <c r="Q79" s="34"/>
      <c r="R79" s="34"/>
      <c r="S79" s="34"/>
      <c r="T79" s="34"/>
      <c r="U79" s="33"/>
    </row>
    <row r="80" spans="1:21" ht="22.05" customHeight="1" x14ac:dyDescent="0.3">
      <c r="A80" s="31">
        <v>77</v>
      </c>
      <c r="B80" s="31" t="s">
        <v>298</v>
      </c>
      <c r="C80" s="32"/>
      <c r="D80" s="32"/>
      <c r="E80" s="32"/>
      <c r="F80" s="32"/>
      <c r="G80" s="32"/>
      <c r="H80" s="32"/>
      <c r="I80" s="32"/>
      <c r="J80" s="32"/>
      <c r="K80" s="32"/>
      <c r="L80" s="32"/>
      <c r="M80" s="32"/>
      <c r="N80" s="32"/>
      <c r="O80" s="32"/>
      <c r="P80" s="32"/>
      <c r="Q80" s="32"/>
      <c r="R80" s="32"/>
      <c r="S80" s="32"/>
      <c r="T80" s="32"/>
      <c r="U80" s="33"/>
    </row>
    <row r="81" spans="1:21" ht="22.05" customHeight="1" x14ac:dyDescent="0.3">
      <c r="A81" s="31">
        <v>78</v>
      </c>
      <c r="B81" s="31" t="s">
        <v>299</v>
      </c>
      <c r="C81" s="34"/>
      <c r="D81" s="34"/>
      <c r="E81" s="34"/>
      <c r="F81" s="34"/>
      <c r="G81" s="34"/>
      <c r="H81" s="34"/>
      <c r="I81" s="34"/>
      <c r="J81" s="34"/>
      <c r="K81" s="34"/>
      <c r="L81" s="34"/>
      <c r="M81" s="34"/>
      <c r="N81" s="34"/>
      <c r="O81" s="34"/>
      <c r="P81" s="34"/>
      <c r="Q81" s="34"/>
      <c r="R81" s="34"/>
      <c r="S81" s="34"/>
      <c r="T81" s="34"/>
      <c r="U81" s="33"/>
    </row>
    <row r="82" spans="1:21" ht="22.05" customHeight="1" x14ac:dyDescent="0.3">
      <c r="A82" s="31">
        <v>79</v>
      </c>
      <c r="B82" s="31" t="s">
        <v>300</v>
      </c>
      <c r="C82" s="32"/>
      <c r="D82" s="32"/>
      <c r="E82" s="32"/>
      <c r="F82" s="32"/>
      <c r="G82" s="32"/>
      <c r="H82" s="32"/>
      <c r="I82" s="32"/>
      <c r="J82" s="32"/>
      <c r="K82" s="32"/>
      <c r="L82" s="32"/>
      <c r="M82" s="32"/>
      <c r="N82" s="32"/>
      <c r="O82" s="32"/>
      <c r="P82" s="32"/>
      <c r="Q82" s="32"/>
      <c r="R82" s="32"/>
      <c r="S82" s="32"/>
      <c r="T82" s="32"/>
      <c r="U82" s="33"/>
    </row>
    <row r="83" spans="1:21" ht="22.05" customHeight="1" x14ac:dyDescent="0.3">
      <c r="A83" s="31">
        <v>80</v>
      </c>
      <c r="B83" s="31" t="s">
        <v>301</v>
      </c>
      <c r="C83" s="34"/>
      <c r="D83" s="34"/>
      <c r="E83" s="34"/>
      <c r="F83" s="34"/>
      <c r="G83" s="34"/>
      <c r="H83" s="34"/>
      <c r="I83" s="34"/>
      <c r="J83" s="34"/>
      <c r="K83" s="34"/>
      <c r="L83" s="34"/>
      <c r="M83" s="34"/>
      <c r="N83" s="34"/>
      <c r="O83" s="34"/>
      <c r="P83" s="34"/>
      <c r="Q83" s="34"/>
      <c r="R83" s="34"/>
      <c r="S83" s="34"/>
      <c r="T83" s="34"/>
      <c r="U83" s="33"/>
    </row>
    <row r="84" spans="1:21" ht="22.05" customHeight="1" x14ac:dyDescent="0.3">
      <c r="A84" s="31">
        <v>81</v>
      </c>
      <c r="B84" s="31" t="s">
        <v>302</v>
      </c>
      <c r="C84" s="32"/>
      <c r="D84" s="32"/>
      <c r="E84" s="32"/>
      <c r="F84" s="32"/>
      <c r="G84" s="32"/>
      <c r="H84" s="32"/>
      <c r="I84" s="32"/>
      <c r="J84" s="32"/>
      <c r="K84" s="32"/>
      <c r="L84" s="32"/>
      <c r="M84" s="32"/>
      <c r="N84" s="32"/>
      <c r="O84" s="32"/>
      <c r="P84" s="32"/>
      <c r="Q84" s="32"/>
      <c r="R84" s="32"/>
      <c r="S84" s="32"/>
      <c r="T84" s="32"/>
      <c r="U84" s="33"/>
    </row>
    <row r="85" spans="1:21" ht="22.05" customHeight="1" x14ac:dyDescent="0.3">
      <c r="A85" s="31">
        <v>82</v>
      </c>
      <c r="B85" s="31" t="s">
        <v>303</v>
      </c>
      <c r="C85" s="34"/>
      <c r="D85" s="34"/>
      <c r="E85" s="34"/>
      <c r="F85" s="34"/>
      <c r="G85" s="34"/>
      <c r="H85" s="34"/>
      <c r="I85" s="34"/>
      <c r="J85" s="34"/>
      <c r="K85" s="34"/>
      <c r="L85" s="34"/>
      <c r="M85" s="34"/>
      <c r="N85" s="34"/>
      <c r="O85" s="34"/>
      <c r="P85" s="34"/>
      <c r="Q85" s="34"/>
      <c r="R85" s="34"/>
      <c r="S85" s="34"/>
      <c r="T85" s="34"/>
      <c r="U85" s="33"/>
    </row>
    <row r="86" spans="1:21" ht="22.05" customHeight="1" x14ac:dyDescent="0.3">
      <c r="A86" s="31">
        <v>83</v>
      </c>
      <c r="B86" s="31" t="s">
        <v>304</v>
      </c>
      <c r="C86" s="32"/>
      <c r="D86" s="32"/>
      <c r="E86" s="32"/>
      <c r="F86" s="32"/>
      <c r="G86" s="32"/>
      <c r="H86" s="32"/>
      <c r="I86" s="32"/>
      <c r="J86" s="32"/>
      <c r="K86" s="32"/>
      <c r="L86" s="32"/>
      <c r="M86" s="32"/>
      <c r="N86" s="32"/>
      <c r="O86" s="32"/>
      <c r="P86" s="32"/>
      <c r="Q86" s="32"/>
      <c r="R86" s="32"/>
      <c r="S86" s="32"/>
      <c r="T86" s="32"/>
      <c r="U86" s="33"/>
    </row>
    <row r="87" spans="1:21" ht="22.05" customHeight="1" x14ac:dyDescent="0.3">
      <c r="A87" s="31">
        <v>84</v>
      </c>
      <c r="B87" s="31" t="s">
        <v>305</v>
      </c>
      <c r="C87" s="34"/>
      <c r="D87" s="34"/>
      <c r="E87" s="34"/>
      <c r="F87" s="34"/>
      <c r="G87" s="34"/>
      <c r="H87" s="34"/>
      <c r="I87" s="34"/>
      <c r="J87" s="34"/>
      <c r="K87" s="34"/>
      <c r="L87" s="34"/>
      <c r="M87" s="34"/>
      <c r="N87" s="34"/>
      <c r="O87" s="34"/>
      <c r="P87" s="34"/>
      <c r="Q87" s="34"/>
      <c r="R87" s="34"/>
      <c r="S87" s="34"/>
      <c r="T87" s="34"/>
      <c r="U87" s="33"/>
    </row>
    <row r="88" spans="1:21" ht="22.05" customHeight="1" x14ac:dyDescent="0.3">
      <c r="A88" s="31">
        <v>85</v>
      </c>
      <c r="B88" s="31" t="s">
        <v>306</v>
      </c>
      <c r="C88" s="32"/>
      <c r="D88" s="32"/>
      <c r="E88" s="32"/>
      <c r="F88" s="32"/>
      <c r="G88" s="32"/>
      <c r="H88" s="32"/>
      <c r="I88" s="32"/>
      <c r="J88" s="32"/>
      <c r="K88" s="32"/>
      <c r="L88" s="32"/>
      <c r="M88" s="32"/>
      <c r="N88" s="32"/>
      <c r="O88" s="32"/>
      <c r="P88" s="32"/>
      <c r="Q88" s="32"/>
      <c r="R88" s="32"/>
      <c r="S88" s="32"/>
      <c r="T88" s="32"/>
      <c r="U88" s="33"/>
    </row>
    <row r="89" spans="1:21" ht="22.05" customHeight="1" x14ac:dyDescent="0.3">
      <c r="A89" s="31">
        <v>86</v>
      </c>
      <c r="B89" s="31" t="s">
        <v>307</v>
      </c>
      <c r="C89" s="34"/>
      <c r="D89" s="34"/>
      <c r="E89" s="34"/>
      <c r="F89" s="34"/>
      <c r="G89" s="34"/>
      <c r="H89" s="34"/>
      <c r="I89" s="34"/>
      <c r="J89" s="34"/>
      <c r="K89" s="34"/>
      <c r="L89" s="34"/>
      <c r="M89" s="34"/>
      <c r="N89" s="34"/>
      <c r="O89" s="34"/>
      <c r="P89" s="34"/>
      <c r="Q89" s="34"/>
      <c r="R89" s="34"/>
      <c r="S89" s="34"/>
      <c r="T89" s="34"/>
      <c r="U89" s="33"/>
    </row>
    <row r="90" spans="1:21" ht="22.05" customHeight="1" x14ac:dyDescent="0.3">
      <c r="A90" s="31">
        <v>87</v>
      </c>
      <c r="B90" s="31" t="s">
        <v>308</v>
      </c>
      <c r="C90" s="32"/>
      <c r="D90" s="32"/>
      <c r="E90" s="32"/>
      <c r="F90" s="32"/>
      <c r="G90" s="32"/>
      <c r="H90" s="32"/>
      <c r="I90" s="32"/>
      <c r="J90" s="32"/>
      <c r="K90" s="32"/>
      <c r="L90" s="32"/>
      <c r="M90" s="32"/>
      <c r="N90" s="32"/>
      <c r="O90" s="32"/>
      <c r="P90" s="32"/>
      <c r="Q90" s="32"/>
      <c r="R90" s="32"/>
      <c r="S90" s="32"/>
      <c r="T90" s="32"/>
      <c r="U90" s="33"/>
    </row>
    <row r="91" spans="1:21" ht="22.05" customHeight="1" x14ac:dyDescent="0.3">
      <c r="A91" s="31">
        <v>88</v>
      </c>
      <c r="B91" s="31" t="s">
        <v>309</v>
      </c>
      <c r="C91" s="34"/>
      <c r="D91" s="34"/>
      <c r="E91" s="34"/>
      <c r="F91" s="34"/>
      <c r="G91" s="34"/>
      <c r="H91" s="34"/>
      <c r="I91" s="34"/>
      <c r="J91" s="34"/>
      <c r="K91" s="34"/>
      <c r="L91" s="34"/>
      <c r="M91" s="34"/>
      <c r="N91" s="34"/>
      <c r="O91" s="34"/>
      <c r="P91" s="34"/>
      <c r="Q91" s="34"/>
      <c r="R91" s="34"/>
      <c r="S91" s="34"/>
      <c r="T91" s="34"/>
      <c r="U91" s="33"/>
    </row>
    <row r="92" spans="1:21" ht="22.05" customHeight="1" x14ac:dyDescent="0.3">
      <c r="A92" s="31">
        <v>89</v>
      </c>
      <c r="B92" s="31" t="s">
        <v>310</v>
      </c>
      <c r="C92" s="32"/>
      <c r="D92" s="32"/>
      <c r="E92" s="32"/>
      <c r="F92" s="32"/>
      <c r="G92" s="32"/>
      <c r="H92" s="32"/>
      <c r="I92" s="32"/>
      <c r="J92" s="32"/>
      <c r="K92" s="32"/>
      <c r="L92" s="32"/>
      <c r="M92" s="32"/>
      <c r="N92" s="32"/>
      <c r="O92" s="32"/>
      <c r="P92" s="32"/>
      <c r="Q92" s="32"/>
      <c r="R92" s="32"/>
      <c r="S92" s="32"/>
      <c r="T92" s="32"/>
      <c r="U92" s="33"/>
    </row>
    <row r="93" spans="1:21" ht="22.05" customHeight="1" x14ac:dyDescent="0.3">
      <c r="A93" s="31">
        <v>90</v>
      </c>
      <c r="B93" s="31" t="s">
        <v>311</v>
      </c>
      <c r="C93" s="34"/>
      <c r="D93" s="34"/>
      <c r="E93" s="34"/>
      <c r="F93" s="34"/>
      <c r="G93" s="34"/>
      <c r="H93" s="34"/>
      <c r="I93" s="34"/>
      <c r="J93" s="34"/>
      <c r="K93" s="34"/>
      <c r="L93" s="34"/>
      <c r="M93" s="34"/>
      <c r="N93" s="34"/>
      <c r="O93" s="34"/>
      <c r="P93" s="34"/>
      <c r="Q93" s="34"/>
      <c r="R93" s="34"/>
      <c r="S93" s="34"/>
      <c r="T93" s="34"/>
      <c r="U93" s="33"/>
    </row>
    <row r="94" spans="1:21" ht="22.05" customHeight="1" x14ac:dyDescent="0.3">
      <c r="A94" s="31">
        <v>91</v>
      </c>
      <c r="B94" s="31" t="s">
        <v>312</v>
      </c>
      <c r="C94" s="32"/>
      <c r="D94" s="32"/>
      <c r="E94" s="32"/>
      <c r="F94" s="32"/>
      <c r="G94" s="32"/>
      <c r="H94" s="32"/>
      <c r="I94" s="32"/>
      <c r="J94" s="32"/>
      <c r="K94" s="32"/>
      <c r="L94" s="32"/>
      <c r="M94" s="32"/>
      <c r="N94" s="32"/>
      <c r="O94" s="32"/>
      <c r="P94" s="32"/>
      <c r="Q94" s="32"/>
      <c r="R94" s="32"/>
      <c r="S94" s="32"/>
      <c r="T94" s="32"/>
      <c r="U94" s="33"/>
    </row>
    <row r="95" spans="1:21" ht="22.05" customHeight="1" x14ac:dyDescent="0.3">
      <c r="A95" s="31">
        <v>92</v>
      </c>
      <c r="B95" s="31" t="s">
        <v>313</v>
      </c>
      <c r="C95" s="34"/>
      <c r="D95" s="34"/>
      <c r="E95" s="34"/>
      <c r="F95" s="34"/>
      <c r="G95" s="34"/>
      <c r="H95" s="34"/>
      <c r="I95" s="34"/>
      <c r="J95" s="34"/>
      <c r="K95" s="34"/>
      <c r="L95" s="34"/>
      <c r="M95" s="34"/>
      <c r="N95" s="34"/>
      <c r="O95" s="34"/>
      <c r="P95" s="34"/>
      <c r="Q95" s="34"/>
      <c r="R95" s="34"/>
      <c r="S95" s="34"/>
      <c r="T95" s="34"/>
      <c r="U95" s="33"/>
    </row>
    <row r="96" spans="1:21" ht="22.05" customHeight="1" x14ac:dyDescent="0.3">
      <c r="A96" s="31">
        <v>93</v>
      </c>
      <c r="B96" s="31" t="s">
        <v>314</v>
      </c>
      <c r="C96" s="32"/>
      <c r="D96" s="32"/>
      <c r="E96" s="32"/>
      <c r="F96" s="32"/>
      <c r="G96" s="32"/>
      <c r="H96" s="32"/>
      <c r="I96" s="32"/>
      <c r="J96" s="32"/>
      <c r="K96" s="32"/>
      <c r="L96" s="32"/>
      <c r="M96" s="32"/>
      <c r="N96" s="32"/>
      <c r="O96" s="32"/>
      <c r="P96" s="32"/>
      <c r="Q96" s="32"/>
      <c r="R96" s="32"/>
      <c r="S96" s="32"/>
      <c r="T96" s="32"/>
      <c r="U96" s="33"/>
    </row>
    <row r="97" spans="1:21" ht="22.05" customHeight="1" x14ac:dyDescent="0.3">
      <c r="A97" s="31">
        <v>94</v>
      </c>
      <c r="B97" s="31" t="s">
        <v>315</v>
      </c>
      <c r="C97" s="34"/>
      <c r="D97" s="34"/>
      <c r="E97" s="34"/>
      <c r="F97" s="34"/>
      <c r="G97" s="34"/>
      <c r="H97" s="34"/>
      <c r="I97" s="34"/>
      <c r="J97" s="34"/>
      <c r="K97" s="34"/>
      <c r="L97" s="34"/>
      <c r="M97" s="34"/>
      <c r="N97" s="34"/>
      <c r="O97" s="34"/>
      <c r="P97" s="34"/>
      <c r="Q97" s="34"/>
      <c r="R97" s="34"/>
      <c r="S97" s="34"/>
      <c r="T97" s="34"/>
      <c r="U97" s="33"/>
    </row>
    <row r="98" spans="1:21" ht="22.05" customHeight="1" x14ac:dyDescent="0.3">
      <c r="A98" s="31">
        <v>95</v>
      </c>
      <c r="B98" s="31" t="s">
        <v>316</v>
      </c>
      <c r="C98" s="32"/>
      <c r="D98" s="32"/>
      <c r="E98" s="32"/>
      <c r="F98" s="32"/>
      <c r="G98" s="32"/>
      <c r="H98" s="32"/>
      <c r="I98" s="32"/>
      <c r="J98" s="32"/>
      <c r="K98" s="32"/>
      <c r="L98" s="32"/>
      <c r="M98" s="32"/>
      <c r="N98" s="32"/>
      <c r="O98" s="32"/>
      <c r="P98" s="32"/>
      <c r="Q98" s="32"/>
      <c r="R98" s="32"/>
      <c r="S98" s="32"/>
      <c r="T98" s="32"/>
      <c r="U98" s="33"/>
    </row>
    <row r="99" spans="1:21" ht="22.05" customHeight="1" x14ac:dyDescent="0.3">
      <c r="A99" s="31">
        <v>96</v>
      </c>
      <c r="B99" s="31" t="s">
        <v>317</v>
      </c>
      <c r="C99" s="34"/>
      <c r="D99" s="34"/>
      <c r="E99" s="34"/>
      <c r="F99" s="34"/>
      <c r="G99" s="34"/>
      <c r="H99" s="34"/>
      <c r="I99" s="34"/>
      <c r="J99" s="34"/>
      <c r="K99" s="34"/>
      <c r="L99" s="34"/>
      <c r="M99" s="34"/>
      <c r="N99" s="34"/>
      <c r="O99" s="34"/>
      <c r="P99" s="34"/>
      <c r="Q99" s="34"/>
      <c r="R99" s="34"/>
      <c r="S99" s="34"/>
      <c r="T99" s="34"/>
      <c r="U99" s="33"/>
    </row>
    <row r="100" spans="1:21" ht="22.05" customHeight="1" x14ac:dyDescent="0.3">
      <c r="A100" s="31">
        <v>97</v>
      </c>
      <c r="B100" s="31" t="s">
        <v>318</v>
      </c>
      <c r="C100" s="32"/>
      <c r="D100" s="32"/>
      <c r="E100" s="32"/>
      <c r="F100" s="32"/>
      <c r="G100" s="32"/>
      <c r="H100" s="32"/>
      <c r="I100" s="32"/>
      <c r="J100" s="32"/>
      <c r="K100" s="32"/>
      <c r="L100" s="32"/>
      <c r="M100" s="32"/>
      <c r="N100" s="32"/>
      <c r="O100" s="32"/>
      <c r="P100" s="32"/>
      <c r="Q100" s="32"/>
      <c r="R100" s="32"/>
      <c r="S100" s="32"/>
      <c r="T100" s="32"/>
      <c r="U100" s="33"/>
    </row>
    <row r="101" spans="1:21" ht="22.05" customHeight="1" x14ac:dyDescent="0.3">
      <c r="A101" s="31">
        <v>98</v>
      </c>
      <c r="B101" s="31" t="s">
        <v>319</v>
      </c>
      <c r="C101" s="34"/>
      <c r="D101" s="34"/>
      <c r="E101" s="34"/>
      <c r="F101" s="34"/>
      <c r="G101" s="34"/>
      <c r="H101" s="34"/>
      <c r="I101" s="34"/>
      <c r="J101" s="34"/>
      <c r="K101" s="34"/>
      <c r="L101" s="34"/>
      <c r="M101" s="34"/>
      <c r="N101" s="34"/>
      <c r="O101" s="34"/>
      <c r="P101" s="34"/>
      <c r="Q101" s="34"/>
      <c r="R101" s="34"/>
      <c r="S101" s="34"/>
      <c r="T101" s="34"/>
      <c r="U101" s="33"/>
    </row>
    <row r="102" spans="1:21" ht="22.05" customHeight="1" x14ac:dyDescent="0.3">
      <c r="A102" s="31">
        <v>99</v>
      </c>
      <c r="B102" s="31" t="s">
        <v>320</v>
      </c>
      <c r="C102" s="32"/>
      <c r="D102" s="32"/>
      <c r="E102" s="32"/>
      <c r="F102" s="32"/>
      <c r="G102" s="32"/>
      <c r="H102" s="32"/>
      <c r="I102" s="32"/>
      <c r="J102" s="32"/>
      <c r="K102" s="32"/>
      <c r="L102" s="32"/>
      <c r="M102" s="32"/>
      <c r="N102" s="32"/>
      <c r="O102" s="32"/>
      <c r="P102" s="32"/>
      <c r="Q102" s="32"/>
      <c r="R102" s="32"/>
      <c r="S102" s="32"/>
      <c r="T102" s="32"/>
      <c r="U102" s="33"/>
    </row>
    <row r="103" spans="1:21" ht="22.05" customHeight="1" x14ac:dyDescent="0.3">
      <c r="A103" s="31">
        <v>100</v>
      </c>
      <c r="B103" s="31" t="s">
        <v>321</v>
      </c>
      <c r="C103" s="34"/>
      <c r="D103" s="34"/>
      <c r="E103" s="34"/>
      <c r="F103" s="34"/>
      <c r="G103" s="34"/>
      <c r="H103" s="34"/>
      <c r="I103" s="34"/>
      <c r="J103" s="34"/>
      <c r="K103" s="34"/>
      <c r="L103" s="34"/>
      <c r="M103" s="34"/>
      <c r="N103" s="34"/>
      <c r="O103" s="34"/>
      <c r="P103" s="34"/>
      <c r="Q103" s="34"/>
      <c r="R103" s="34"/>
      <c r="S103" s="34"/>
      <c r="T103" s="34"/>
      <c r="U103" s="33"/>
    </row>
    <row r="104" spans="1:21" ht="22.05" customHeight="1" x14ac:dyDescent="0.3">
      <c r="A104" s="31">
        <v>101</v>
      </c>
      <c r="B104" s="31" t="s">
        <v>322</v>
      </c>
      <c r="C104" s="32"/>
      <c r="D104" s="32"/>
      <c r="E104" s="32"/>
      <c r="F104" s="32"/>
      <c r="G104" s="32"/>
      <c r="H104" s="32"/>
      <c r="I104" s="32"/>
      <c r="J104" s="32"/>
      <c r="K104" s="32"/>
      <c r="L104" s="32"/>
      <c r="M104" s="32"/>
      <c r="N104" s="32"/>
      <c r="O104" s="32"/>
      <c r="P104" s="32"/>
      <c r="Q104" s="32"/>
      <c r="R104" s="32"/>
      <c r="S104" s="32"/>
      <c r="T104" s="32"/>
      <c r="U104" s="33"/>
    </row>
    <row r="105" spans="1:21" ht="22.05" customHeight="1" x14ac:dyDescent="0.3">
      <c r="A105" s="31">
        <v>102</v>
      </c>
      <c r="B105" s="31" t="s">
        <v>323</v>
      </c>
      <c r="C105" s="34"/>
      <c r="D105" s="34"/>
      <c r="E105" s="34"/>
      <c r="F105" s="34"/>
      <c r="G105" s="34"/>
      <c r="H105" s="34"/>
      <c r="I105" s="34"/>
      <c r="J105" s="34"/>
      <c r="K105" s="34"/>
      <c r="L105" s="34"/>
      <c r="M105" s="34"/>
      <c r="N105" s="34"/>
      <c r="O105" s="34"/>
      <c r="P105" s="34"/>
      <c r="Q105" s="34"/>
      <c r="R105" s="34"/>
      <c r="S105" s="34"/>
      <c r="T105" s="34"/>
      <c r="U105" s="33"/>
    </row>
    <row r="106" spans="1:21" ht="22.05" customHeight="1" x14ac:dyDescent="0.3">
      <c r="A106" s="31">
        <v>103</v>
      </c>
      <c r="B106" s="31" t="s">
        <v>324</v>
      </c>
      <c r="C106" s="32"/>
      <c r="D106" s="32"/>
      <c r="E106" s="32"/>
      <c r="F106" s="32"/>
      <c r="G106" s="32"/>
      <c r="H106" s="32"/>
      <c r="I106" s="32"/>
      <c r="J106" s="32"/>
      <c r="K106" s="32"/>
      <c r="L106" s="32"/>
      <c r="M106" s="32"/>
      <c r="N106" s="32"/>
      <c r="O106" s="32"/>
      <c r="P106" s="32"/>
      <c r="Q106" s="32"/>
      <c r="R106" s="32"/>
      <c r="S106" s="32"/>
      <c r="T106" s="32"/>
      <c r="U106" s="33"/>
    </row>
    <row r="107" spans="1:21" ht="22.05" customHeight="1" x14ac:dyDescent="0.3">
      <c r="A107" s="31">
        <v>104</v>
      </c>
      <c r="B107" s="31" t="s">
        <v>325</v>
      </c>
      <c r="C107" s="34"/>
      <c r="D107" s="34"/>
      <c r="E107" s="34"/>
      <c r="F107" s="34"/>
      <c r="G107" s="34"/>
      <c r="H107" s="34"/>
      <c r="I107" s="34"/>
      <c r="J107" s="34"/>
      <c r="K107" s="34"/>
      <c r="L107" s="34"/>
      <c r="M107" s="34"/>
      <c r="N107" s="34"/>
      <c r="O107" s="34"/>
      <c r="P107" s="34"/>
      <c r="Q107" s="34"/>
      <c r="R107" s="34"/>
      <c r="S107" s="34"/>
      <c r="T107" s="34"/>
      <c r="U107" s="33"/>
    </row>
    <row r="108" spans="1:21" ht="22.05" customHeight="1" x14ac:dyDescent="0.3">
      <c r="A108" s="31">
        <v>105</v>
      </c>
      <c r="B108" s="31" t="s">
        <v>326</v>
      </c>
      <c r="C108" s="32"/>
      <c r="D108" s="32"/>
      <c r="E108" s="32"/>
      <c r="F108" s="32"/>
      <c r="G108" s="32"/>
      <c r="H108" s="32"/>
      <c r="I108" s="32"/>
      <c r="J108" s="32"/>
      <c r="K108" s="32"/>
      <c r="L108" s="32"/>
      <c r="M108" s="32"/>
      <c r="N108" s="32"/>
      <c r="O108" s="32"/>
      <c r="P108" s="32"/>
      <c r="Q108" s="32"/>
      <c r="R108" s="32"/>
      <c r="S108" s="32"/>
      <c r="T108" s="32"/>
      <c r="U108" s="33"/>
    </row>
    <row r="109" spans="1:21" ht="22.05" customHeight="1" x14ac:dyDescent="0.3">
      <c r="A109" s="31">
        <v>106</v>
      </c>
      <c r="B109" s="31" t="s">
        <v>327</v>
      </c>
      <c r="C109" s="34"/>
      <c r="D109" s="34"/>
      <c r="E109" s="34"/>
      <c r="F109" s="34"/>
      <c r="G109" s="34"/>
      <c r="H109" s="34"/>
      <c r="I109" s="34"/>
      <c r="J109" s="34"/>
      <c r="K109" s="34"/>
      <c r="L109" s="34"/>
      <c r="M109" s="34"/>
      <c r="N109" s="34"/>
      <c r="O109" s="34"/>
      <c r="P109" s="34"/>
      <c r="Q109" s="34"/>
      <c r="R109" s="34"/>
      <c r="S109" s="34"/>
      <c r="T109" s="34"/>
      <c r="U109" s="33"/>
    </row>
    <row r="110" spans="1:21" ht="22.05" customHeight="1" x14ac:dyDescent="0.3">
      <c r="A110" s="31">
        <v>107</v>
      </c>
      <c r="B110" s="31" t="s">
        <v>328</v>
      </c>
      <c r="C110" s="32"/>
      <c r="D110" s="32"/>
      <c r="E110" s="32"/>
      <c r="F110" s="32"/>
      <c r="G110" s="32"/>
      <c r="H110" s="32"/>
      <c r="I110" s="32"/>
      <c r="J110" s="32"/>
      <c r="K110" s="32"/>
      <c r="L110" s="32"/>
      <c r="M110" s="32"/>
      <c r="N110" s="32"/>
      <c r="O110" s="32"/>
      <c r="P110" s="32"/>
      <c r="Q110" s="32"/>
      <c r="R110" s="32"/>
      <c r="S110" s="32"/>
      <c r="T110" s="32"/>
      <c r="U110" s="33"/>
    </row>
    <row r="111" spans="1:21" ht="22.05" customHeight="1" x14ac:dyDescent="0.3">
      <c r="A111" s="31">
        <v>108</v>
      </c>
      <c r="B111" s="31" t="s">
        <v>329</v>
      </c>
      <c r="C111" s="34"/>
      <c r="D111" s="34"/>
      <c r="E111" s="34"/>
      <c r="F111" s="34"/>
      <c r="G111" s="34"/>
      <c r="H111" s="34"/>
      <c r="I111" s="34"/>
      <c r="J111" s="34"/>
      <c r="K111" s="34"/>
      <c r="L111" s="34"/>
      <c r="M111" s="34"/>
      <c r="N111" s="34"/>
      <c r="O111" s="34"/>
      <c r="P111" s="34"/>
      <c r="Q111" s="34"/>
      <c r="R111" s="34"/>
      <c r="S111" s="34"/>
      <c r="T111" s="34"/>
      <c r="U111" s="33"/>
    </row>
    <row r="112" spans="1:21" ht="22.05" customHeight="1" x14ac:dyDescent="0.3">
      <c r="A112" s="31">
        <v>109</v>
      </c>
      <c r="B112" s="31" t="s">
        <v>330</v>
      </c>
      <c r="C112" s="32"/>
      <c r="D112" s="32"/>
      <c r="E112" s="32"/>
      <c r="F112" s="32"/>
      <c r="G112" s="32"/>
      <c r="H112" s="32"/>
      <c r="I112" s="32"/>
      <c r="J112" s="32"/>
      <c r="K112" s="32"/>
      <c r="L112" s="32"/>
      <c r="M112" s="32"/>
      <c r="N112" s="32"/>
      <c r="O112" s="32"/>
      <c r="P112" s="32"/>
      <c r="Q112" s="32"/>
      <c r="R112" s="32"/>
      <c r="S112" s="32"/>
      <c r="T112" s="32"/>
      <c r="U112" s="33"/>
    </row>
    <row r="113" spans="1:21" ht="22.05" customHeight="1" x14ac:dyDescent="0.3">
      <c r="A113" s="31">
        <v>110</v>
      </c>
      <c r="B113" s="31" t="s">
        <v>331</v>
      </c>
      <c r="C113" s="34"/>
      <c r="D113" s="34"/>
      <c r="E113" s="34"/>
      <c r="F113" s="34"/>
      <c r="G113" s="34"/>
      <c r="H113" s="34"/>
      <c r="I113" s="34"/>
      <c r="J113" s="34"/>
      <c r="K113" s="34"/>
      <c r="L113" s="34"/>
      <c r="M113" s="34"/>
      <c r="N113" s="34"/>
      <c r="O113" s="34"/>
      <c r="P113" s="34"/>
      <c r="Q113" s="34"/>
      <c r="R113" s="34"/>
      <c r="S113" s="34"/>
      <c r="T113" s="34"/>
      <c r="U113" s="33"/>
    </row>
    <row r="114" spans="1:21" ht="22.05" customHeight="1" x14ac:dyDescent="0.3">
      <c r="A114" s="31">
        <v>111</v>
      </c>
      <c r="B114" s="31" t="s">
        <v>332</v>
      </c>
      <c r="C114" s="32"/>
      <c r="D114" s="32"/>
      <c r="E114" s="32"/>
      <c r="F114" s="32"/>
      <c r="G114" s="32"/>
      <c r="H114" s="32"/>
      <c r="I114" s="32"/>
      <c r="J114" s="32"/>
      <c r="K114" s="32"/>
      <c r="L114" s="32"/>
      <c r="M114" s="32"/>
      <c r="N114" s="32"/>
      <c r="O114" s="32"/>
      <c r="P114" s="32"/>
      <c r="Q114" s="32"/>
      <c r="R114" s="32"/>
      <c r="S114" s="32"/>
      <c r="T114" s="32"/>
      <c r="U114" s="33"/>
    </row>
    <row r="115" spans="1:21" ht="22.05" customHeight="1" x14ac:dyDescent="0.3">
      <c r="A115" s="31">
        <v>112</v>
      </c>
      <c r="B115" s="31" t="s">
        <v>333</v>
      </c>
      <c r="C115" s="34"/>
      <c r="D115" s="34"/>
      <c r="E115" s="34"/>
      <c r="F115" s="34"/>
      <c r="G115" s="34"/>
      <c r="H115" s="34"/>
      <c r="I115" s="34"/>
      <c r="J115" s="34"/>
      <c r="K115" s="34"/>
      <c r="L115" s="34"/>
      <c r="M115" s="34"/>
      <c r="N115" s="34"/>
      <c r="O115" s="34"/>
      <c r="P115" s="34"/>
      <c r="Q115" s="34"/>
      <c r="R115" s="34"/>
      <c r="S115" s="34"/>
      <c r="T115" s="34"/>
      <c r="U115" s="33"/>
    </row>
    <row r="116" spans="1:21" ht="22.05" customHeight="1" x14ac:dyDescent="0.3">
      <c r="A116" s="31">
        <v>113</v>
      </c>
      <c r="B116" s="31" t="s">
        <v>334</v>
      </c>
      <c r="C116" s="32"/>
      <c r="D116" s="32"/>
      <c r="E116" s="32"/>
      <c r="F116" s="32"/>
      <c r="G116" s="32"/>
      <c r="H116" s="32"/>
      <c r="I116" s="32"/>
      <c r="J116" s="32"/>
      <c r="K116" s="32"/>
      <c r="L116" s="32"/>
      <c r="M116" s="32"/>
      <c r="N116" s="32"/>
      <c r="O116" s="32"/>
      <c r="P116" s="32"/>
      <c r="Q116" s="32"/>
      <c r="R116" s="32"/>
      <c r="S116" s="32"/>
      <c r="T116" s="32"/>
      <c r="U116" s="33"/>
    </row>
    <row r="117" spans="1:21" ht="22.05" customHeight="1" x14ac:dyDescent="0.3">
      <c r="A117" s="31">
        <v>114</v>
      </c>
      <c r="B117" s="31" t="s">
        <v>335</v>
      </c>
      <c r="C117" s="34"/>
      <c r="D117" s="34"/>
      <c r="E117" s="34"/>
      <c r="F117" s="34"/>
      <c r="G117" s="34"/>
      <c r="H117" s="34"/>
      <c r="I117" s="34"/>
      <c r="J117" s="34"/>
      <c r="K117" s="34"/>
      <c r="L117" s="34"/>
      <c r="M117" s="34"/>
      <c r="N117" s="34"/>
      <c r="O117" s="34"/>
      <c r="P117" s="34"/>
      <c r="Q117" s="34"/>
      <c r="R117" s="34"/>
      <c r="S117" s="34"/>
      <c r="T117" s="34"/>
      <c r="U117" s="33"/>
    </row>
    <row r="118" spans="1:21" ht="22.05" customHeight="1" x14ac:dyDescent="0.3">
      <c r="A118" s="31">
        <v>115</v>
      </c>
      <c r="B118" s="31" t="s">
        <v>336</v>
      </c>
      <c r="C118" s="32"/>
      <c r="D118" s="32"/>
      <c r="E118" s="32"/>
      <c r="F118" s="32"/>
      <c r="G118" s="32"/>
      <c r="H118" s="32"/>
      <c r="I118" s="32"/>
      <c r="J118" s="32"/>
      <c r="K118" s="32"/>
      <c r="L118" s="32"/>
      <c r="M118" s="32"/>
      <c r="N118" s="32"/>
      <c r="O118" s="32"/>
      <c r="P118" s="32"/>
      <c r="Q118" s="32"/>
      <c r="R118" s="32"/>
      <c r="S118" s="32"/>
      <c r="T118" s="32"/>
      <c r="U118" s="33"/>
    </row>
    <row r="119" spans="1:21" ht="22.05" customHeight="1" x14ac:dyDescent="0.3">
      <c r="A119" s="31">
        <v>116</v>
      </c>
      <c r="B119" s="31" t="s">
        <v>337</v>
      </c>
      <c r="C119" s="34"/>
      <c r="D119" s="34"/>
      <c r="E119" s="34"/>
      <c r="F119" s="34"/>
      <c r="G119" s="34"/>
      <c r="H119" s="34"/>
      <c r="I119" s="34"/>
      <c r="J119" s="34"/>
      <c r="K119" s="34"/>
      <c r="L119" s="34"/>
      <c r="M119" s="34"/>
      <c r="N119" s="34"/>
      <c r="O119" s="34"/>
      <c r="P119" s="34"/>
      <c r="Q119" s="34"/>
      <c r="R119" s="34"/>
      <c r="S119" s="34"/>
      <c r="T119" s="34"/>
      <c r="U119" s="33"/>
    </row>
    <row r="120" spans="1:21" ht="22.05" customHeight="1" x14ac:dyDescent="0.3">
      <c r="A120" s="31">
        <v>117</v>
      </c>
      <c r="B120" s="31" t="s">
        <v>338</v>
      </c>
      <c r="C120" s="32"/>
      <c r="D120" s="32"/>
      <c r="E120" s="32"/>
      <c r="F120" s="32"/>
      <c r="G120" s="32"/>
      <c r="H120" s="32"/>
      <c r="I120" s="32"/>
      <c r="J120" s="32"/>
      <c r="K120" s="32"/>
      <c r="L120" s="32"/>
      <c r="M120" s="32"/>
      <c r="N120" s="32"/>
      <c r="O120" s="32"/>
      <c r="P120" s="32"/>
      <c r="Q120" s="32"/>
      <c r="R120" s="32"/>
      <c r="S120" s="32"/>
      <c r="T120" s="32"/>
      <c r="U120" s="33"/>
    </row>
    <row r="121" spans="1:21" ht="22.05" customHeight="1" x14ac:dyDescent="0.3">
      <c r="A121" s="31">
        <v>118</v>
      </c>
      <c r="B121" s="31" t="s">
        <v>339</v>
      </c>
      <c r="C121" s="34"/>
      <c r="D121" s="34"/>
      <c r="E121" s="34"/>
      <c r="F121" s="34"/>
      <c r="G121" s="34"/>
      <c r="H121" s="34"/>
      <c r="I121" s="34"/>
      <c r="J121" s="34"/>
      <c r="K121" s="34"/>
      <c r="L121" s="34"/>
      <c r="M121" s="34"/>
      <c r="N121" s="34"/>
      <c r="O121" s="34"/>
      <c r="P121" s="34"/>
      <c r="Q121" s="34"/>
      <c r="R121" s="34"/>
      <c r="S121" s="34"/>
      <c r="T121" s="34"/>
      <c r="U121" s="33"/>
    </row>
    <row r="122" spans="1:21" ht="22.05" customHeight="1" x14ac:dyDescent="0.3">
      <c r="A122" s="31">
        <v>119</v>
      </c>
      <c r="B122" s="31" t="s">
        <v>340</v>
      </c>
      <c r="C122" s="32"/>
      <c r="D122" s="32"/>
      <c r="E122" s="32"/>
      <c r="F122" s="32"/>
      <c r="G122" s="32"/>
      <c r="H122" s="32"/>
      <c r="I122" s="32"/>
      <c r="J122" s="32"/>
      <c r="K122" s="32"/>
      <c r="L122" s="32"/>
      <c r="M122" s="32"/>
      <c r="N122" s="32"/>
      <c r="O122" s="32"/>
      <c r="P122" s="32"/>
      <c r="Q122" s="32"/>
      <c r="R122" s="32"/>
      <c r="S122" s="32"/>
      <c r="T122" s="32"/>
      <c r="U122" s="33"/>
    </row>
    <row r="123" spans="1:21" ht="22.05" customHeight="1" x14ac:dyDescent="0.3">
      <c r="A123" s="31">
        <v>120</v>
      </c>
      <c r="B123" s="31" t="s">
        <v>341</v>
      </c>
      <c r="C123" s="34"/>
      <c r="D123" s="34"/>
      <c r="E123" s="34"/>
      <c r="F123" s="34"/>
      <c r="G123" s="34"/>
      <c r="H123" s="34"/>
      <c r="I123" s="34"/>
      <c r="J123" s="34"/>
      <c r="K123" s="34"/>
      <c r="L123" s="34"/>
      <c r="M123" s="34"/>
      <c r="N123" s="34"/>
      <c r="O123" s="34"/>
      <c r="P123" s="34"/>
      <c r="Q123" s="34"/>
      <c r="R123" s="34"/>
      <c r="S123" s="34"/>
      <c r="T123" s="34"/>
      <c r="U123" s="33"/>
    </row>
    <row r="124" spans="1:21" ht="22.05" customHeight="1" x14ac:dyDescent="0.3">
      <c r="A124" s="31">
        <v>121</v>
      </c>
      <c r="B124" s="31" t="s">
        <v>342</v>
      </c>
      <c r="C124" s="32"/>
      <c r="D124" s="32"/>
      <c r="E124" s="32"/>
      <c r="F124" s="32"/>
      <c r="G124" s="32"/>
      <c r="H124" s="32"/>
      <c r="I124" s="32"/>
      <c r="J124" s="32"/>
      <c r="K124" s="32"/>
      <c r="L124" s="32"/>
      <c r="M124" s="32"/>
      <c r="N124" s="32"/>
      <c r="O124" s="32"/>
      <c r="P124" s="32"/>
      <c r="Q124" s="32"/>
      <c r="R124" s="32"/>
      <c r="S124" s="32"/>
      <c r="T124" s="32"/>
      <c r="U124" s="33"/>
    </row>
    <row r="125" spans="1:21" ht="22.05" customHeight="1" x14ac:dyDescent="0.3">
      <c r="A125" s="31">
        <v>122</v>
      </c>
      <c r="B125" s="31" t="s">
        <v>343</v>
      </c>
      <c r="C125" s="34"/>
      <c r="D125" s="34"/>
      <c r="E125" s="34"/>
      <c r="F125" s="34"/>
      <c r="G125" s="34"/>
      <c r="H125" s="34"/>
      <c r="I125" s="34"/>
      <c r="J125" s="34"/>
      <c r="K125" s="34"/>
      <c r="L125" s="34"/>
      <c r="M125" s="34"/>
      <c r="N125" s="34"/>
      <c r="O125" s="34"/>
      <c r="P125" s="34"/>
      <c r="Q125" s="34"/>
      <c r="R125" s="34"/>
      <c r="S125" s="34"/>
      <c r="T125" s="34"/>
      <c r="U125" s="33"/>
    </row>
    <row r="126" spans="1:21" ht="22.05" customHeight="1" x14ac:dyDescent="0.3">
      <c r="A126" s="31">
        <v>123</v>
      </c>
      <c r="B126" s="31" t="s">
        <v>344</v>
      </c>
      <c r="C126" s="32"/>
      <c r="D126" s="32"/>
      <c r="E126" s="32"/>
      <c r="F126" s="32"/>
      <c r="G126" s="32"/>
      <c r="H126" s="32"/>
      <c r="I126" s="32"/>
      <c r="J126" s="32"/>
      <c r="K126" s="32"/>
      <c r="L126" s="32"/>
      <c r="M126" s="32"/>
      <c r="N126" s="32"/>
      <c r="O126" s="32"/>
      <c r="P126" s="32"/>
      <c r="Q126" s="32"/>
      <c r="R126" s="32"/>
      <c r="S126" s="32"/>
      <c r="T126" s="32"/>
      <c r="U126" s="33"/>
    </row>
    <row r="127" spans="1:21" ht="22.05" customHeight="1" x14ac:dyDescent="0.3">
      <c r="A127" s="31">
        <v>124</v>
      </c>
      <c r="B127" s="31" t="s">
        <v>345</v>
      </c>
      <c r="C127" s="34"/>
      <c r="D127" s="34"/>
      <c r="E127" s="34"/>
      <c r="F127" s="34"/>
      <c r="G127" s="34"/>
      <c r="H127" s="34"/>
      <c r="I127" s="34"/>
      <c r="J127" s="34"/>
      <c r="K127" s="34"/>
      <c r="L127" s="34"/>
      <c r="M127" s="34"/>
      <c r="N127" s="34"/>
      <c r="O127" s="34"/>
      <c r="P127" s="34"/>
      <c r="Q127" s="34"/>
      <c r="R127" s="34"/>
      <c r="S127" s="34"/>
      <c r="T127" s="34"/>
      <c r="U127" s="33"/>
    </row>
    <row r="128" spans="1:21" ht="22.05" customHeight="1" x14ac:dyDescent="0.3">
      <c r="A128" s="31">
        <v>125</v>
      </c>
      <c r="B128" s="31" t="s">
        <v>346</v>
      </c>
      <c r="C128" s="32"/>
      <c r="D128" s="32"/>
      <c r="E128" s="32"/>
      <c r="F128" s="32"/>
      <c r="G128" s="32"/>
      <c r="H128" s="32"/>
      <c r="I128" s="32"/>
      <c r="J128" s="32"/>
      <c r="K128" s="32"/>
      <c r="L128" s="32"/>
      <c r="M128" s="32"/>
      <c r="N128" s="32"/>
      <c r="O128" s="32"/>
      <c r="P128" s="32"/>
      <c r="Q128" s="32"/>
      <c r="R128" s="32"/>
      <c r="S128" s="32"/>
      <c r="T128" s="32"/>
      <c r="U128" s="33"/>
    </row>
    <row r="129" spans="1:21" ht="22.05" customHeight="1" x14ac:dyDescent="0.3">
      <c r="A129" s="31">
        <v>126</v>
      </c>
      <c r="B129" s="31" t="s">
        <v>347</v>
      </c>
      <c r="C129" s="34"/>
      <c r="D129" s="34"/>
      <c r="E129" s="34"/>
      <c r="F129" s="34"/>
      <c r="G129" s="34"/>
      <c r="H129" s="34"/>
      <c r="I129" s="34"/>
      <c r="J129" s="34"/>
      <c r="K129" s="34"/>
      <c r="L129" s="34"/>
      <c r="M129" s="34"/>
      <c r="N129" s="34"/>
      <c r="O129" s="34"/>
      <c r="P129" s="34"/>
      <c r="Q129" s="34"/>
      <c r="R129" s="34"/>
      <c r="S129" s="34"/>
      <c r="T129" s="34"/>
      <c r="U129" s="33"/>
    </row>
    <row r="130" spans="1:21" ht="22.05" customHeight="1" x14ac:dyDescent="0.3">
      <c r="A130" s="31">
        <v>127</v>
      </c>
      <c r="B130" s="31" t="s">
        <v>348</v>
      </c>
      <c r="C130" s="32"/>
      <c r="D130" s="32"/>
      <c r="E130" s="32"/>
      <c r="F130" s="32"/>
      <c r="G130" s="32"/>
      <c r="H130" s="32"/>
      <c r="I130" s="32"/>
      <c r="J130" s="32"/>
      <c r="K130" s="32"/>
      <c r="L130" s="32"/>
      <c r="M130" s="32"/>
      <c r="N130" s="32"/>
      <c r="O130" s="32"/>
      <c r="P130" s="32"/>
      <c r="Q130" s="32"/>
      <c r="R130" s="32"/>
      <c r="S130" s="32"/>
      <c r="T130" s="32"/>
      <c r="U130" s="33"/>
    </row>
    <row r="131" spans="1:21" ht="22.05" customHeight="1" x14ac:dyDescent="0.3">
      <c r="A131" s="31">
        <v>128</v>
      </c>
      <c r="B131" s="31" t="s">
        <v>349</v>
      </c>
      <c r="C131" s="34"/>
      <c r="D131" s="34"/>
      <c r="E131" s="34"/>
      <c r="F131" s="34"/>
      <c r="G131" s="34"/>
      <c r="H131" s="34"/>
      <c r="I131" s="34"/>
      <c r="J131" s="34"/>
      <c r="K131" s="34"/>
      <c r="L131" s="34"/>
      <c r="M131" s="34"/>
      <c r="N131" s="34"/>
      <c r="O131" s="34"/>
      <c r="P131" s="34"/>
      <c r="Q131" s="34"/>
      <c r="R131" s="34"/>
      <c r="S131" s="34"/>
      <c r="T131" s="34"/>
      <c r="U131" s="33"/>
    </row>
    <row r="132" spans="1:21" ht="22.05" customHeight="1" x14ac:dyDescent="0.3">
      <c r="A132" s="31">
        <v>129</v>
      </c>
      <c r="B132" s="31" t="s">
        <v>350</v>
      </c>
      <c r="C132" s="32"/>
      <c r="D132" s="32"/>
      <c r="E132" s="32"/>
      <c r="F132" s="32"/>
      <c r="G132" s="32"/>
      <c r="H132" s="32"/>
      <c r="I132" s="32"/>
      <c r="J132" s="32"/>
      <c r="K132" s="32"/>
      <c r="L132" s="32"/>
      <c r="M132" s="32"/>
      <c r="N132" s="32"/>
      <c r="O132" s="32"/>
      <c r="P132" s="32"/>
      <c r="Q132" s="32"/>
      <c r="R132" s="32"/>
      <c r="S132" s="32"/>
      <c r="T132" s="32"/>
      <c r="U132" s="33"/>
    </row>
    <row r="133" spans="1:21" ht="22.05" customHeight="1" x14ac:dyDescent="0.3">
      <c r="A133" s="31">
        <v>130</v>
      </c>
      <c r="B133" s="31" t="s">
        <v>351</v>
      </c>
      <c r="C133" s="34"/>
      <c r="D133" s="34"/>
      <c r="E133" s="34"/>
      <c r="F133" s="34"/>
      <c r="G133" s="34"/>
      <c r="H133" s="34"/>
      <c r="I133" s="34"/>
      <c r="J133" s="34"/>
      <c r="K133" s="34"/>
      <c r="L133" s="34"/>
      <c r="M133" s="34"/>
      <c r="N133" s="34"/>
      <c r="O133" s="34"/>
      <c r="P133" s="34"/>
      <c r="Q133" s="34"/>
      <c r="R133" s="34"/>
      <c r="S133" s="34"/>
      <c r="T133" s="34"/>
      <c r="U133" s="33"/>
    </row>
    <row r="134" spans="1:21" ht="22.05" customHeight="1" x14ac:dyDescent="0.3">
      <c r="A134" s="31">
        <v>131</v>
      </c>
      <c r="B134" s="31" t="s">
        <v>352</v>
      </c>
      <c r="C134" s="32"/>
      <c r="D134" s="32"/>
      <c r="E134" s="32"/>
      <c r="F134" s="32"/>
      <c r="G134" s="32"/>
      <c r="H134" s="32"/>
      <c r="I134" s="32"/>
      <c r="J134" s="32"/>
      <c r="K134" s="32"/>
      <c r="L134" s="32"/>
      <c r="M134" s="32"/>
      <c r="N134" s="32"/>
      <c r="O134" s="32"/>
      <c r="P134" s="32"/>
      <c r="Q134" s="32"/>
      <c r="R134" s="32"/>
      <c r="S134" s="32"/>
      <c r="T134" s="32"/>
      <c r="U134" s="33"/>
    </row>
    <row r="135" spans="1:21" ht="22.05" customHeight="1" x14ac:dyDescent="0.3">
      <c r="A135" s="31">
        <v>132</v>
      </c>
      <c r="B135" s="31" t="s">
        <v>353</v>
      </c>
      <c r="C135" s="34"/>
      <c r="D135" s="34"/>
      <c r="E135" s="34"/>
      <c r="F135" s="34"/>
      <c r="G135" s="34"/>
      <c r="H135" s="34"/>
      <c r="I135" s="34"/>
      <c r="J135" s="34"/>
      <c r="K135" s="34"/>
      <c r="L135" s="34"/>
      <c r="M135" s="34"/>
      <c r="N135" s="34"/>
      <c r="O135" s="34"/>
      <c r="P135" s="34"/>
      <c r="Q135" s="34"/>
      <c r="R135" s="34"/>
      <c r="S135" s="34"/>
      <c r="T135" s="34"/>
      <c r="U135" s="33"/>
    </row>
    <row r="136" spans="1:21" ht="22.05" customHeight="1" x14ac:dyDescent="0.3">
      <c r="A136" s="31">
        <v>133</v>
      </c>
      <c r="B136" s="31" t="s">
        <v>354</v>
      </c>
      <c r="C136" s="32"/>
      <c r="D136" s="32"/>
      <c r="E136" s="32"/>
      <c r="F136" s="32"/>
      <c r="G136" s="32"/>
      <c r="H136" s="32"/>
      <c r="I136" s="32"/>
      <c r="J136" s="32"/>
      <c r="K136" s="32"/>
      <c r="L136" s="32"/>
      <c r="M136" s="32"/>
      <c r="N136" s="32"/>
      <c r="O136" s="32"/>
      <c r="P136" s="32"/>
      <c r="Q136" s="32"/>
      <c r="R136" s="32"/>
      <c r="S136" s="32"/>
      <c r="T136" s="32"/>
      <c r="U136" s="33"/>
    </row>
    <row r="137" spans="1:21" ht="22.05" customHeight="1" x14ac:dyDescent="0.3">
      <c r="A137" s="31">
        <v>134</v>
      </c>
      <c r="B137" s="31" t="s">
        <v>355</v>
      </c>
      <c r="C137" s="34"/>
      <c r="D137" s="34"/>
      <c r="E137" s="34"/>
      <c r="F137" s="34"/>
      <c r="G137" s="34"/>
      <c r="H137" s="34"/>
      <c r="I137" s="34"/>
      <c r="J137" s="34"/>
      <c r="K137" s="34"/>
      <c r="L137" s="34"/>
      <c r="M137" s="34"/>
      <c r="N137" s="34"/>
      <c r="O137" s="34"/>
      <c r="P137" s="34"/>
      <c r="Q137" s="34"/>
      <c r="R137" s="34"/>
      <c r="S137" s="34"/>
      <c r="T137" s="34"/>
      <c r="U137" s="33"/>
    </row>
    <row r="138" spans="1:21" ht="22.05" customHeight="1" x14ac:dyDescent="0.3">
      <c r="A138" s="31">
        <v>135</v>
      </c>
      <c r="B138" s="31" t="s">
        <v>356</v>
      </c>
      <c r="C138" s="32"/>
      <c r="D138" s="32"/>
      <c r="E138" s="32"/>
      <c r="F138" s="32"/>
      <c r="G138" s="32"/>
      <c r="H138" s="32"/>
      <c r="I138" s="32"/>
      <c r="J138" s="32"/>
      <c r="K138" s="32"/>
      <c r="L138" s="32"/>
      <c r="M138" s="32"/>
      <c r="N138" s="32"/>
      <c r="O138" s="32"/>
      <c r="P138" s="32"/>
      <c r="Q138" s="32"/>
      <c r="R138" s="32"/>
      <c r="S138" s="32"/>
      <c r="T138" s="32"/>
      <c r="U138" s="33"/>
    </row>
    <row r="139" spans="1:21" ht="22.05" customHeight="1" x14ac:dyDescent="0.3">
      <c r="A139" s="31">
        <v>136</v>
      </c>
      <c r="B139" s="31" t="s">
        <v>357</v>
      </c>
      <c r="C139" s="34"/>
      <c r="D139" s="34"/>
      <c r="E139" s="34"/>
      <c r="F139" s="34"/>
      <c r="G139" s="34"/>
      <c r="H139" s="34"/>
      <c r="I139" s="34"/>
      <c r="J139" s="34"/>
      <c r="K139" s="34"/>
      <c r="L139" s="34"/>
      <c r="M139" s="34"/>
      <c r="N139" s="34"/>
      <c r="O139" s="34"/>
      <c r="P139" s="34"/>
      <c r="Q139" s="34"/>
      <c r="R139" s="34"/>
      <c r="S139" s="34"/>
      <c r="T139" s="34"/>
      <c r="U139" s="33"/>
    </row>
    <row r="140" spans="1:21" ht="22.05" customHeight="1" x14ac:dyDescent="0.3">
      <c r="A140" s="31">
        <v>137</v>
      </c>
      <c r="B140" s="31" t="s">
        <v>358</v>
      </c>
      <c r="C140" s="32"/>
      <c r="D140" s="32"/>
      <c r="E140" s="32"/>
      <c r="F140" s="32"/>
      <c r="G140" s="32"/>
      <c r="H140" s="32"/>
      <c r="I140" s="32"/>
      <c r="J140" s="32"/>
      <c r="K140" s="32"/>
      <c r="L140" s="32"/>
      <c r="M140" s="32"/>
      <c r="N140" s="32"/>
      <c r="O140" s="32"/>
      <c r="P140" s="32"/>
      <c r="Q140" s="32"/>
      <c r="R140" s="32"/>
      <c r="S140" s="32"/>
      <c r="T140" s="32"/>
      <c r="U140" s="33"/>
    </row>
    <row r="141" spans="1:21" ht="22.05" customHeight="1" x14ac:dyDescent="0.3">
      <c r="A141" s="31">
        <v>138</v>
      </c>
      <c r="B141" s="31" t="s">
        <v>359</v>
      </c>
      <c r="C141" s="34"/>
      <c r="D141" s="34"/>
      <c r="E141" s="34"/>
      <c r="F141" s="34"/>
      <c r="G141" s="34"/>
      <c r="H141" s="34"/>
      <c r="I141" s="34"/>
      <c r="J141" s="34"/>
      <c r="K141" s="34"/>
      <c r="L141" s="34"/>
      <c r="M141" s="34"/>
      <c r="N141" s="34"/>
      <c r="O141" s="34"/>
      <c r="P141" s="34"/>
      <c r="Q141" s="34"/>
      <c r="R141" s="34"/>
      <c r="S141" s="34"/>
      <c r="T141" s="34"/>
      <c r="U141" s="33"/>
    </row>
    <row r="142" spans="1:21" ht="22.05" customHeight="1" x14ac:dyDescent="0.3">
      <c r="A142" s="31">
        <v>139</v>
      </c>
      <c r="B142" s="31" t="s">
        <v>360</v>
      </c>
      <c r="C142" s="32"/>
      <c r="D142" s="32"/>
      <c r="E142" s="32"/>
      <c r="F142" s="32"/>
      <c r="G142" s="32"/>
      <c r="H142" s="32"/>
      <c r="I142" s="32"/>
      <c r="J142" s="32"/>
      <c r="K142" s="32"/>
      <c r="L142" s="32"/>
      <c r="M142" s="32"/>
      <c r="N142" s="32"/>
      <c r="O142" s="32"/>
      <c r="P142" s="32"/>
      <c r="Q142" s="32"/>
      <c r="R142" s="32"/>
      <c r="S142" s="32"/>
      <c r="T142" s="32"/>
      <c r="U142" s="33"/>
    </row>
    <row r="143" spans="1:21" ht="22.05" customHeight="1" x14ac:dyDescent="0.3">
      <c r="A143" s="31">
        <v>140</v>
      </c>
      <c r="B143" s="31" t="s">
        <v>361</v>
      </c>
      <c r="C143" s="34"/>
      <c r="D143" s="34"/>
      <c r="E143" s="34"/>
      <c r="F143" s="34"/>
      <c r="G143" s="34"/>
      <c r="H143" s="34"/>
      <c r="I143" s="34"/>
      <c r="J143" s="34"/>
      <c r="K143" s="34"/>
      <c r="L143" s="34"/>
      <c r="M143" s="34"/>
      <c r="N143" s="34"/>
      <c r="O143" s="34"/>
      <c r="P143" s="34"/>
      <c r="Q143" s="34"/>
      <c r="R143" s="34"/>
      <c r="S143" s="34"/>
      <c r="T143" s="34"/>
      <c r="U143" s="33"/>
    </row>
    <row r="144" spans="1:21" ht="22.05" customHeight="1" x14ac:dyDescent="0.3">
      <c r="A144" s="31">
        <v>141</v>
      </c>
      <c r="B144" s="31" t="s">
        <v>362</v>
      </c>
      <c r="C144" s="32"/>
      <c r="D144" s="32"/>
      <c r="E144" s="32"/>
      <c r="F144" s="32"/>
      <c r="G144" s="32"/>
      <c r="H144" s="32"/>
      <c r="I144" s="32"/>
      <c r="J144" s="32"/>
      <c r="K144" s="32"/>
      <c r="L144" s="32"/>
      <c r="M144" s="32"/>
      <c r="N144" s="32"/>
      <c r="O144" s="32"/>
      <c r="P144" s="32"/>
      <c r="Q144" s="32"/>
      <c r="R144" s="32"/>
      <c r="S144" s="32"/>
      <c r="T144" s="32"/>
      <c r="U144" s="33"/>
    </row>
    <row r="145" spans="1:21" ht="22.05" customHeight="1" x14ac:dyDescent="0.3">
      <c r="A145" s="31">
        <v>142</v>
      </c>
      <c r="B145" s="31" t="s">
        <v>363</v>
      </c>
      <c r="C145" s="34"/>
      <c r="D145" s="34"/>
      <c r="E145" s="34"/>
      <c r="F145" s="34"/>
      <c r="G145" s="34"/>
      <c r="H145" s="34"/>
      <c r="I145" s="34"/>
      <c r="J145" s="34"/>
      <c r="K145" s="34"/>
      <c r="L145" s="34"/>
      <c r="M145" s="34"/>
      <c r="N145" s="34"/>
      <c r="O145" s="34"/>
      <c r="P145" s="34"/>
      <c r="Q145" s="34"/>
      <c r="R145" s="34"/>
      <c r="S145" s="34"/>
      <c r="T145" s="34"/>
      <c r="U145" s="33"/>
    </row>
    <row r="146" spans="1:21" ht="22.05" customHeight="1" x14ac:dyDescent="0.3">
      <c r="A146" s="31">
        <v>143</v>
      </c>
      <c r="B146" s="31" t="s">
        <v>364</v>
      </c>
      <c r="C146" s="32"/>
      <c r="D146" s="32"/>
      <c r="E146" s="32"/>
      <c r="F146" s="32"/>
      <c r="G146" s="32"/>
      <c r="H146" s="32"/>
      <c r="I146" s="32"/>
      <c r="J146" s="32"/>
      <c r="K146" s="32"/>
      <c r="L146" s="32"/>
      <c r="M146" s="32"/>
      <c r="N146" s="32"/>
      <c r="O146" s="32"/>
      <c r="P146" s="32"/>
      <c r="Q146" s="32"/>
      <c r="R146" s="32"/>
      <c r="S146" s="32"/>
      <c r="T146" s="32"/>
      <c r="U146" s="33"/>
    </row>
    <row r="147" spans="1:21" ht="22.05" customHeight="1" x14ac:dyDescent="0.3">
      <c r="A147" s="31">
        <v>144</v>
      </c>
      <c r="B147" s="31" t="s">
        <v>365</v>
      </c>
      <c r="C147" s="34"/>
      <c r="D147" s="34"/>
      <c r="E147" s="34"/>
      <c r="F147" s="34"/>
      <c r="G147" s="34"/>
      <c r="H147" s="34"/>
      <c r="I147" s="34"/>
      <c r="J147" s="34"/>
      <c r="K147" s="34"/>
      <c r="L147" s="34"/>
      <c r="M147" s="34"/>
      <c r="N147" s="34"/>
      <c r="O147" s="34"/>
      <c r="P147" s="34"/>
      <c r="Q147" s="34"/>
      <c r="R147" s="34"/>
      <c r="S147" s="34"/>
      <c r="T147" s="34"/>
      <c r="U147" s="33"/>
    </row>
    <row r="148" spans="1:21" ht="22.05" customHeight="1" x14ac:dyDescent="0.3">
      <c r="A148" s="31">
        <v>145</v>
      </c>
      <c r="B148" s="31" t="s">
        <v>366</v>
      </c>
      <c r="C148" s="32"/>
      <c r="D148" s="32"/>
      <c r="E148" s="32"/>
      <c r="F148" s="32"/>
      <c r="G148" s="32"/>
      <c r="H148" s="32"/>
      <c r="I148" s="32"/>
      <c r="J148" s="32"/>
      <c r="K148" s="32"/>
      <c r="L148" s="32"/>
      <c r="M148" s="32"/>
      <c r="N148" s="32"/>
      <c r="O148" s="32"/>
      <c r="P148" s="32"/>
      <c r="Q148" s="32"/>
      <c r="R148" s="32"/>
      <c r="S148" s="32"/>
      <c r="T148" s="32"/>
      <c r="U148" s="33"/>
    </row>
    <row r="149" spans="1:21" ht="22.05" customHeight="1" x14ac:dyDescent="0.3">
      <c r="A149" s="31">
        <v>146</v>
      </c>
      <c r="B149" s="31" t="s">
        <v>367</v>
      </c>
      <c r="C149" s="34"/>
      <c r="D149" s="34"/>
      <c r="E149" s="34"/>
      <c r="F149" s="34"/>
      <c r="G149" s="34"/>
      <c r="H149" s="34"/>
      <c r="I149" s="34"/>
      <c r="J149" s="34"/>
      <c r="K149" s="34"/>
      <c r="L149" s="34"/>
      <c r="M149" s="34"/>
      <c r="N149" s="34"/>
      <c r="O149" s="34"/>
      <c r="P149" s="34"/>
      <c r="Q149" s="34"/>
      <c r="R149" s="34"/>
      <c r="S149" s="34"/>
      <c r="T149" s="34"/>
      <c r="U149" s="33"/>
    </row>
    <row r="150" spans="1:21" ht="22.05" customHeight="1" x14ac:dyDescent="0.3">
      <c r="A150" s="31">
        <v>147</v>
      </c>
      <c r="B150" s="31" t="s">
        <v>368</v>
      </c>
      <c r="C150" s="32"/>
      <c r="D150" s="32"/>
      <c r="E150" s="32"/>
      <c r="F150" s="32"/>
      <c r="G150" s="32"/>
      <c r="H150" s="32"/>
      <c r="I150" s="32"/>
      <c r="J150" s="32"/>
      <c r="K150" s="32"/>
      <c r="L150" s="32"/>
      <c r="M150" s="32"/>
      <c r="N150" s="32"/>
      <c r="O150" s="32"/>
      <c r="P150" s="32"/>
      <c r="Q150" s="32"/>
      <c r="R150" s="32"/>
      <c r="S150" s="32"/>
      <c r="T150" s="32"/>
      <c r="U150" s="33"/>
    </row>
    <row r="151" spans="1:21" ht="22.05" customHeight="1" x14ac:dyDescent="0.3">
      <c r="A151" s="31">
        <v>148</v>
      </c>
      <c r="B151" s="31" t="s">
        <v>369</v>
      </c>
      <c r="C151" s="34"/>
      <c r="D151" s="34"/>
      <c r="E151" s="34"/>
      <c r="F151" s="34"/>
      <c r="G151" s="34"/>
      <c r="H151" s="34"/>
      <c r="I151" s="34"/>
      <c r="J151" s="34"/>
      <c r="K151" s="34"/>
      <c r="L151" s="34"/>
      <c r="M151" s="34"/>
      <c r="N151" s="34"/>
      <c r="O151" s="34"/>
      <c r="P151" s="34"/>
      <c r="Q151" s="34"/>
      <c r="R151" s="34"/>
      <c r="S151" s="34"/>
      <c r="T151" s="34"/>
      <c r="U151" s="33"/>
    </row>
    <row r="152" spans="1:21" ht="22.05" customHeight="1" x14ac:dyDescent="0.3">
      <c r="A152" s="31">
        <v>149</v>
      </c>
      <c r="B152" s="31" t="s">
        <v>370</v>
      </c>
      <c r="C152" s="32"/>
      <c r="D152" s="32"/>
      <c r="E152" s="32"/>
      <c r="F152" s="32"/>
      <c r="G152" s="32"/>
      <c r="H152" s="32"/>
      <c r="I152" s="32"/>
      <c r="J152" s="32"/>
      <c r="K152" s="32"/>
      <c r="L152" s="32"/>
      <c r="M152" s="32"/>
      <c r="N152" s="32"/>
      <c r="O152" s="32"/>
      <c r="P152" s="32"/>
      <c r="Q152" s="32"/>
      <c r="R152" s="32"/>
      <c r="S152" s="32"/>
      <c r="T152" s="32"/>
      <c r="U152" s="33"/>
    </row>
    <row r="153" spans="1:21" ht="22.05" customHeight="1" x14ac:dyDescent="0.3">
      <c r="A153" s="31">
        <v>150</v>
      </c>
      <c r="B153" s="31" t="s">
        <v>371</v>
      </c>
      <c r="C153" s="34"/>
      <c r="D153" s="34"/>
      <c r="E153" s="34"/>
      <c r="F153" s="34"/>
      <c r="G153" s="34"/>
      <c r="H153" s="34"/>
      <c r="I153" s="34"/>
      <c r="J153" s="34"/>
      <c r="K153" s="34"/>
      <c r="L153" s="34"/>
      <c r="M153" s="34"/>
      <c r="N153" s="34"/>
      <c r="O153" s="34"/>
      <c r="P153" s="34"/>
      <c r="Q153" s="34"/>
      <c r="R153" s="34"/>
      <c r="S153" s="34"/>
      <c r="T153" s="34"/>
      <c r="U153" s="33"/>
    </row>
    <row r="154" spans="1:21" ht="22.05" customHeight="1" x14ac:dyDescent="0.3">
      <c r="A154" s="31">
        <v>151</v>
      </c>
      <c r="B154" s="31" t="s">
        <v>372</v>
      </c>
      <c r="C154" s="32"/>
      <c r="D154" s="32"/>
      <c r="E154" s="32"/>
      <c r="F154" s="32"/>
      <c r="G154" s="32"/>
      <c r="H154" s="32"/>
      <c r="I154" s="32"/>
      <c r="J154" s="32"/>
      <c r="K154" s="32"/>
      <c r="L154" s="32"/>
      <c r="M154" s="32"/>
      <c r="N154" s="32"/>
      <c r="O154" s="32"/>
      <c r="P154" s="32"/>
      <c r="Q154" s="32"/>
      <c r="R154" s="32"/>
      <c r="S154" s="32"/>
      <c r="T154" s="32"/>
      <c r="U154" s="33"/>
    </row>
    <row r="155" spans="1:21" ht="22.05" customHeight="1" x14ac:dyDescent="0.3">
      <c r="A155" s="31">
        <v>152</v>
      </c>
      <c r="B155" s="31" t="s">
        <v>373</v>
      </c>
      <c r="C155" s="34"/>
      <c r="D155" s="34"/>
      <c r="E155" s="34"/>
      <c r="F155" s="34"/>
      <c r="G155" s="34"/>
      <c r="H155" s="34"/>
      <c r="I155" s="34"/>
      <c r="J155" s="34"/>
      <c r="K155" s="34"/>
      <c r="L155" s="34"/>
      <c r="M155" s="34"/>
      <c r="N155" s="34"/>
      <c r="O155" s="34"/>
      <c r="P155" s="34"/>
      <c r="Q155" s="34"/>
      <c r="R155" s="34"/>
      <c r="S155" s="34"/>
      <c r="T155" s="34"/>
      <c r="U155" s="33"/>
    </row>
    <row r="156" spans="1:21" ht="22.05" customHeight="1" x14ac:dyDescent="0.3">
      <c r="A156" s="31">
        <v>153</v>
      </c>
      <c r="B156" s="31" t="s">
        <v>374</v>
      </c>
      <c r="C156" s="32"/>
      <c r="D156" s="32"/>
      <c r="E156" s="32"/>
      <c r="F156" s="32"/>
      <c r="G156" s="32"/>
      <c r="H156" s="32"/>
      <c r="I156" s="32"/>
      <c r="J156" s="32"/>
      <c r="K156" s="32"/>
      <c r="L156" s="32"/>
      <c r="M156" s="32"/>
      <c r="N156" s="32"/>
      <c r="O156" s="32"/>
      <c r="P156" s="32"/>
      <c r="Q156" s="32"/>
      <c r="R156" s="32"/>
      <c r="S156" s="32"/>
      <c r="T156" s="32"/>
      <c r="U156" s="33"/>
    </row>
    <row r="157" spans="1:21" ht="22.05" customHeight="1" x14ac:dyDescent="0.3">
      <c r="A157" s="31">
        <v>154</v>
      </c>
      <c r="B157" s="31" t="s">
        <v>375</v>
      </c>
      <c r="C157" s="34"/>
      <c r="D157" s="34"/>
      <c r="E157" s="34"/>
      <c r="F157" s="34"/>
      <c r="G157" s="34"/>
      <c r="H157" s="34"/>
      <c r="I157" s="34"/>
      <c r="J157" s="34"/>
      <c r="K157" s="34"/>
      <c r="L157" s="34"/>
      <c r="M157" s="34"/>
      <c r="N157" s="34"/>
      <c r="O157" s="34"/>
      <c r="P157" s="34"/>
      <c r="Q157" s="34"/>
      <c r="R157" s="34"/>
      <c r="S157" s="34"/>
      <c r="T157" s="34"/>
      <c r="U157" s="33"/>
    </row>
    <row r="158" spans="1:21" ht="22.05" customHeight="1" x14ac:dyDescent="0.3">
      <c r="A158" s="31">
        <v>155</v>
      </c>
      <c r="B158" s="31" t="s">
        <v>376</v>
      </c>
      <c r="C158" s="32"/>
      <c r="D158" s="32"/>
      <c r="E158" s="32"/>
      <c r="F158" s="32"/>
      <c r="G158" s="32"/>
      <c r="H158" s="32"/>
      <c r="I158" s="32"/>
      <c r="J158" s="32"/>
      <c r="K158" s="32"/>
      <c r="L158" s="32"/>
      <c r="M158" s="32"/>
      <c r="N158" s="32"/>
      <c r="O158" s="32"/>
      <c r="P158" s="32"/>
      <c r="Q158" s="32"/>
      <c r="R158" s="32"/>
      <c r="S158" s="32"/>
      <c r="T158" s="32"/>
      <c r="U158" s="33"/>
    </row>
    <row r="159" spans="1:21" ht="22.05" customHeight="1" x14ac:dyDescent="0.3">
      <c r="A159" s="31">
        <v>156</v>
      </c>
      <c r="B159" s="31" t="s">
        <v>377</v>
      </c>
      <c r="C159" s="34"/>
      <c r="D159" s="34"/>
      <c r="E159" s="34"/>
      <c r="F159" s="34"/>
      <c r="G159" s="34"/>
      <c r="H159" s="34"/>
      <c r="I159" s="34"/>
      <c r="J159" s="34"/>
      <c r="K159" s="34"/>
      <c r="L159" s="34"/>
      <c r="M159" s="34"/>
      <c r="N159" s="34"/>
      <c r="O159" s="34"/>
      <c r="P159" s="34"/>
      <c r="Q159" s="34"/>
      <c r="R159" s="34"/>
      <c r="S159" s="34"/>
      <c r="T159" s="34"/>
      <c r="U159" s="33"/>
    </row>
    <row r="160" spans="1:21" ht="22.05" customHeight="1" x14ac:dyDescent="0.3">
      <c r="A160" s="31">
        <v>157</v>
      </c>
      <c r="B160" s="31" t="s">
        <v>378</v>
      </c>
      <c r="C160" s="32"/>
      <c r="D160" s="32"/>
      <c r="E160" s="32"/>
      <c r="F160" s="32"/>
      <c r="G160" s="32"/>
      <c r="H160" s="32"/>
      <c r="I160" s="32"/>
      <c r="J160" s="32"/>
      <c r="K160" s="32"/>
      <c r="L160" s="32"/>
      <c r="M160" s="32"/>
      <c r="N160" s="32"/>
      <c r="O160" s="32"/>
      <c r="P160" s="32"/>
      <c r="Q160" s="32"/>
      <c r="R160" s="32"/>
      <c r="S160" s="32"/>
      <c r="T160" s="32"/>
      <c r="U160" s="33"/>
    </row>
    <row r="161" spans="1:21" ht="22.05" customHeight="1" x14ac:dyDescent="0.3">
      <c r="A161" s="31">
        <v>158</v>
      </c>
      <c r="B161" s="31" t="s">
        <v>379</v>
      </c>
      <c r="C161" s="34"/>
      <c r="D161" s="34"/>
      <c r="E161" s="34"/>
      <c r="F161" s="34"/>
      <c r="G161" s="34"/>
      <c r="H161" s="34"/>
      <c r="I161" s="34"/>
      <c r="J161" s="34"/>
      <c r="K161" s="34"/>
      <c r="L161" s="34"/>
      <c r="M161" s="34"/>
      <c r="N161" s="34"/>
      <c r="O161" s="34"/>
      <c r="P161" s="34"/>
      <c r="Q161" s="34"/>
      <c r="R161" s="34"/>
      <c r="S161" s="34"/>
      <c r="T161" s="34"/>
      <c r="U161" s="33"/>
    </row>
    <row r="162" spans="1:21" ht="22.05" customHeight="1" x14ac:dyDescent="0.3">
      <c r="A162" s="31">
        <v>159</v>
      </c>
      <c r="B162" s="31" t="s">
        <v>380</v>
      </c>
      <c r="C162" s="32"/>
      <c r="D162" s="32"/>
      <c r="E162" s="32"/>
      <c r="F162" s="32"/>
      <c r="G162" s="32"/>
      <c r="H162" s="32"/>
      <c r="I162" s="32"/>
      <c r="J162" s="32"/>
      <c r="K162" s="32"/>
      <c r="L162" s="32"/>
      <c r="M162" s="32"/>
      <c r="N162" s="32"/>
      <c r="O162" s="32"/>
      <c r="P162" s="32"/>
      <c r="Q162" s="32"/>
      <c r="R162" s="32"/>
      <c r="S162" s="32"/>
      <c r="T162" s="32"/>
      <c r="U162" s="33"/>
    </row>
    <row r="163" spans="1:21" ht="22.05" customHeight="1" x14ac:dyDescent="0.3">
      <c r="A163" s="31">
        <v>160</v>
      </c>
      <c r="B163" s="31" t="s">
        <v>381</v>
      </c>
      <c r="C163" s="34"/>
      <c r="D163" s="34"/>
      <c r="E163" s="34"/>
      <c r="F163" s="34"/>
      <c r="G163" s="34"/>
      <c r="H163" s="34"/>
      <c r="I163" s="34"/>
      <c r="J163" s="34"/>
      <c r="K163" s="34"/>
      <c r="L163" s="34"/>
      <c r="M163" s="34"/>
      <c r="N163" s="34"/>
      <c r="O163" s="34"/>
      <c r="P163" s="34"/>
      <c r="Q163" s="34"/>
      <c r="R163" s="34"/>
      <c r="S163" s="34"/>
      <c r="T163" s="34"/>
      <c r="U163" s="33"/>
    </row>
    <row r="164" spans="1:21" ht="22.05" customHeight="1" x14ac:dyDescent="0.3">
      <c r="A164" s="31">
        <v>161</v>
      </c>
      <c r="B164" s="31" t="s">
        <v>382</v>
      </c>
      <c r="C164" s="32"/>
      <c r="D164" s="32"/>
      <c r="E164" s="32"/>
      <c r="F164" s="32"/>
      <c r="G164" s="32"/>
      <c r="H164" s="32"/>
      <c r="I164" s="32"/>
      <c r="J164" s="32"/>
      <c r="K164" s="32"/>
      <c r="L164" s="32"/>
      <c r="M164" s="32"/>
      <c r="N164" s="32"/>
      <c r="O164" s="32"/>
      <c r="P164" s="32"/>
      <c r="Q164" s="32"/>
      <c r="R164" s="32"/>
      <c r="S164" s="32"/>
      <c r="T164" s="32"/>
      <c r="U164" s="33"/>
    </row>
    <row r="165" spans="1:21" ht="22.05" customHeight="1" x14ac:dyDescent="0.3">
      <c r="A165" s="31">
        <v>162</v>
      </c>
      <c r="B165" s="31" t="s">
        <v>383</v>
      </c>
      <c r="C165" s="34"/>
      <c r="D165" s="34"/>
      <c r="E165" s="34"/>
      <c r="F165" s="34"/>
      <c r="G165" s="34"/>
      <c r="H165" s="34"/>
      <c r="I165" s="34"/>
      <c r="J165" s="34"/>
      <c r="K165" s="34"/>
      <c r="L165" s="34"/>
      <c r="M165" s="34"/>
      <c r="N165" s="34"/>
      <c r="O165" s="34"/>
      <c r="P165" s="34"/>
      <c r="Q165" s="34"/>
      <c r="R165" s="34"/>
      <c r="S165" s="34"/>
      <c r="T165" s="34"/>
      <c r="U165" s="33"/>
    </row>
    <row r="166" spans="1:21" ht="22.05" customHeight="1" x14ac:dyDescent="0.3">
      <c r="A166" s="31">
        <v>163</v>
      </c>
      <c r="B166" s="31" t="s">
        <v>384</v>
      </c>
      <c r="C166" s="32"/>
      <c r="D166" s="32"/>
      <c r="E166" s="32"/>
      <c r="F166" s="32"/>
      <c r="G166" s="32"/>
      <c r="H166" s="32"/>
      <c r="I166" s="32"/>
      <c r="J166" s="32"/>
      <c r="K166" s="32"/>
      <c r="L166" s="32"/>
      <c r="M166" s="32"/>
      <c r="N166" s="32"/>
      <c r="O166" s="32"/>
      <c r="P166" s="32"/>
      <c r="Q166" s="32"/>
      <c r="R166" s="32"/>
      <c r="S166" s="32"/>
      <c r="T166" s="32"/>
      <c r="U166" s="33"/>
    </row>
    <row r="167" spans="1:21" ht="22.05" customHeight="1" x14ac:dyDescent="0.3">
      <c r="A167" s="31">
        <v>164</v>
      </c>
      <c r="B167" s="31" t="s">
        <v>385</v>
      </c>
      <c r="C167" s="34"/>
      <c r="D167" s="34"/>
      <c r="E167" s="34"/>
      <c r="F167" s="34"/>
      <c r="G167" s="34"/>
      <c r="H167" s="34"/>
      <c r="I167" s="34"/>
      <c r="J167" s="34"/>
      <c r="K167" s="34"/>
      <c r="L167" s="34"/>
      <c r="M167" s="34"/>
      <c r="N167" s="34"/>
      <c r="O167" s="34"/>
      <c r="P167" s="34"/>
      <c r="Q167" s="34"/>
      <c r="R167" s="34"/>
      <c r="S167" s="34"/>
      <c r="T167" s="34"/>
      <c r="U167" s="33"/>
    </row>
    <row r="168" spans="1:21" ht="22.05" customHeight="1" x14ac:dyDescent="0.3">
      <c r="A168" s="31">
        <v>165</v>
      </c>
      <c r="B168" s="31" t="s">
        <v>386</v>
      </c>
      <c r="C168" s="32"/>
      <c r="D168" s="32"/>
      <c r="E168" s="32"/>
      <c r="F168" s="32"/>
      <c r="G168" s="32"/>
      <c r="H168" s="32"/>
      <c r="I168" s="32"/>
      <c r="J168" s="32"/>
      <c r="K168" s="32"/>
      <c r="L168" s="32"/>
      <c r="M168" s="32"/>
      <c r="N168" s="32"/>
      <c r="O168" s="32"/>
      <c r="P168" s="32"/>
      <c r="Q168" s="32"/>
      <c r="R168" s="32"/>
      <c r="S168" s="32"/>
      <c r="T168" s="32"/>
      <c r="U168" s="33"/>
    </row>
    <row r="169" spans="1:21" ht="22.05" customHeight="1" x14ac:dyDescent="0.3">
      <c r="A169" s="31">
        <v>166</v>
      </c>
      <c r="B169" s="31" t="s">
        <v>387</v>
      </c>
      <c r="C169" s="34"/>
      <c r="D169" s="34"/>
      <c r="E169" s="34"/>
      <c r="F169" s="34"/>
      <c r="G169" s="34"/>
      <c r="H169" s="34"/>
      <c r="I169" s="34"/>
      <c r="J169" s="34"/>
      <c r="K169" s="34"/>
      <c r="L169" s="34"/>
      <c r="M169" s="34"/>
      <c r="N169" s="34"/>
      <c r="O169" s="34"/>
      <c r="P169" s="34"/>
      <c r="Q169" s="34"/>
      <c r="R169" s="34"/>
      <c r="S169" s="34"/>
      <c r="T169" s="34"/>
      <c r="U169" s="33"/>
    </row>
    <row r="170" spans="1:21" ht="22.05" customHeight="1" x14ac:dyDescent="0.3">
      <c r="A170" s="31">
        <v>167</v>
      </c>
      <c r="B170" s="31" t="s">
        <v>388</v>
      </c>
      <c r="C170" s="32"/>
      <c r="D170" s="32"/>
      <c r="E170" s="32"/>
      <c r="F170" s="32"/>
      <c r="G170" s="32"/>
      <c r="H170" s="32"/>
      <c r="I170" s="32"/>
      <c r="J170" s="32"/>
      <c r="K170" s="32"/>
      <c r="L170" s="32"/>
      <c r="M170" s="32"/>
      <c r="N170" s="32"/>
      <c r="O170" s="32"/>
      <c r="P170" s="32"/>
      <c r="Q170" s="32"/>
      <c r="R170" s="32"/>
      <c r="S170" s="32"/>
      <c r="T170" s="32"/>
      <c r="U170" s="33"/>
    </row>
    <row r="171" spans="1:21" ht="22.05" customHeight="1" x14ac:dyDescent="0.3">
      <c r="A171" s="31">
        <v>168</v>
      </c>
      <c r="B171" s="31" t="s">
        <v>389</v>
      </c>
      <c r="C171" s="34"/>
      <c r="D171" s="34"/>
      <c r="E171" s="34"/>
      <c r="F171" s="34"/>
      <c r="G171" s="34"/>
      <c r="H171" s="34"/>
      <c r="I171" s="34"/>
      <c r="J171" s="34"/>
      <c r="K171" s="34"/>
      <c r="L171" s="34"/>
      <c r="M171" s="34"/>
      <c r="N171" s="34"/>
      <c r="O171" s="34"/>
      <c r="P171" s="34"/>
      <c r="Q171" s="34"/>
      <c r="R171" s="34"/>
      <c r="S171" s="34"/>
      <c r="T171" s="34"/>
      <c r="U171" s="33"/>
    </row>
    <row r="172" spans="1:21" ht="22.05" customHeight="1" x14ac:dyDescent="0.3">
      <c r="A172" s="31">
        <v>169</v>
      </c>
      <c r="B172" s="31" t="s">
        <v>390</v>
      </c>
      <c r="C172" s="32"/>
      <c r="D172" s="32"/>
      <c r="E172" s="32"/>
      <c r="F172" s="32"/>
      <c r="G172" s="32"/>
      <c r="H172" s="32"/>
      <c r="I172" s="32"/>
      <c r="J172" s="32"/>
      <c r="K172" s="32"/>
      <c r="L172" s="32"/>
      <c r="M172" s="32"/>
      <c r="N172" s="32"/>
      <c r="O172" s="32"/>
      <c r="P172" s="32"/>
      <c r="Q172" s="32"/>
      <c r="R172" s="32"/>
      <c r="S172" s="32"/>
      <c r="T172" s="32"/>
      <c r="U172" s="33"/>
    </row>
    <row r="173" spans="1:21" ht="22.05" customHeight="1" x14ac:dyDescent="0.3">
      <c r="A173" s="31">
        <v>170</v>
      </c>
      <c r="B173" s="31" t="s">
        <v>391</v>
      </c>
      <c r="C173" s="34"/>
      <c r="D173" s="34"/>
      <c r="E173" s="34"/>
      <c r="F173" s="34"/>
      <c r="G173" s="34"/>
      <c r="H173" s="34"/>
      <c r="I173" s="34"/>
      <c r="J173" s="34"/>
      <c r="K173" s="34"/>
      <c r="L173" s="34"/>
      <c r="M173" s="34"/>
      <c r="N173" s="34"/>
      <c r="O173" s="34"/>
      <c r="P173" s="34"/>
      <c r="Q173" s="34"/>
      <c r="R173" s="34"/>
      <c r="S173" s="34"/>
      <c r="T173" s="34"/>
      <c r="U173" s="33"/>
    </row>
    <row r="174" spans="1:21" ht="22.05" customHeight="1" x14ac:dyDescent="0.3">
      <c r="A174" s="31">
        <v>171</v>
      </c>
      <c r="B174" s="31" t="s">
        <v>392</v>
      </c>
      <c r="C174" s="32"/>
      <c r="D174" s="32"/>
      <c r="E174" s="32"/>
      <c r="F174" s="32"/>
      <c r="G174" s="32"/>
      <c r="H174" s="32"/>
      <c r="I174" s="32"/>
      <c r="J174" s="32"/>
      <c r="K174" s="32"/>
      <c r="L174" s="32"/>
      <c r="M174" s="32"/>
      <c r="N174" s="32"/>
      <c r="O174" s="32"/>
      <c r="P174" s="32"/>
      <c r="Q174" s="32"/>
      <c r="R174" s="32"/>
      <c r="S174" s="32"/>
      <c r="T174" s="32"/>
      <c r="U174" s="33"/>
    </row>
    <row r="175" spans="1:21" ht="22.05" customHeight="1" x14ac:dyDescent="0.3">
      <c r="A175" s="31">
        <v>172</v>
      </c>
      <c r="B175" s="31" t="s">
        <v>393</v>
      </c>
      <c r="C175" s="34"/>
      <c r="D175" s="34"/>
      <c r="E175" s="34"/>
      <c r="F175" s="34"/>
      <c r="G175" s="34"/>
      <c r="H175" s="34"/>
      <c r="I175" s="34"/>
      <c r="J175" s="34"/>
      <c r="K175" s="34"/>
      <c r="L175" s="34"/>
      <c r="M175" s="34"/>
      <c r="N175" s="34"/>
      <c r="O175" s="34"/>
      <c r="P175" s="34"/>
      <c r="Q175" s="34"/>
      <c r="R175" s="34"/>
      <c r="S175" s="34"/>
      <c r="T175" s="34"/>
      <c r="U175" s="33"/>
    </row>
    <row r="176" spans="1:21" ht="22.05" customHeight="1" x14ac:dyDescent="0.3">
      <c r="A176" s="31">
        <v>173</v>
      </c>
      <c r="B176" s="31" t="s">
        <v>394</v>
      </c>
      <c r="C176" s="32"/>
      <c r="D176" s="32"/>
      <c r="E176" s="32"/>
      <c r="F176" s="32"/>
      <c r="G176" s="32"/>
      <c r="H176" s="32"/>
      <c r="I176" s="32"/>
      <c r="J176" s="32"/>
      <c r="K176" s="32"/>
      <c r="L176" s="32"/>
      <c r="M176" s="32"/>
      <c r="N176" s="32"/>
      <c r="O176" s="32"/>
      <c r="P176" s="32"/>
      <c r="Q176" s="32"/>
      <c r="R176" s="32"/>
      <c r="S176" s="32"/>
      <c r="T176" s="32"/>
      <c r="U176" s="33"/>
    </row>
    <row r="177" spans="1:21" ht="22.05" customHeight="1" x14ac:dyDescent="0.3">
      <c r="A177" s="31">
        <v>174</v>
      </c>
      <c r="B177" s="31" t="s">
        <v>395</v>
      </c>
      <c r="C177" s="34"/>
      <c r="D177" s="34"/>
      <c r="E177" s="34"/>
      <c r="F177" s="34"/>
      <c r="G177" s="34"/>
      <c r="H177" s="34"/>
      <c r="I177" s="34"/>
      <c r="J177" s="34"/>
      <c r="K177" s="34"/>
      <c r="L177" s="34"/>
      <c r="M177" s="34"/>
      <c r="N177" s="34"/>
      <c r="O177" s="34"/>
      <c r="P177" s="34"/>
      <c r="Q177" s="34"/>
      <c r="R177" s="34"/>
      <c r="S177" s="34"/>
      <c r="T177" s="34"/>
      <c r="U177" s="33"/>
    </row>
    <row r="178" spans="1:21" ht="22.05" customHeight="1" x14ac:dyDescent="0.3">
      <c r="A178" s="31">
        <v>175</v>
      </c>
      <c r="B178" s="31" t="s">
        <v>396</v>
      </c>
      <c r="C178" s="32"/>
      <c r="D178" s="32"/>
      <c r="E178" s="32"/>
      <c r="F178" s="32"/>
      <c r="G178" s="32"/>
      <c r="H178" s="32"/>
      <c r="I178" s="32"/>
      <c r="J178" s="32"/>
      <c r="K178" s="32"/>
      <c r="L178" s="32"/>
      <c r="M178" s="32"/>
      <c r="N178" s="32"/>
      <c r="O178" s="32"/>
      <c r="P178" s="32"/>
      <c r="Q178" s="32"/>
      <c r="R178" s="32"/>
      <c r="S178" s="32"/>
      <c r="T178" s="32"/>
      <c r="U178" s="33"/>
    </row>
    <row r="179" spans="1:21" ht="22.05" customHeight="1" x14ac:dyDescent="0.3">
      <c r="A179" s="31">
        <v>176</v>
      </c>
      <c r="B179" s="31" t="s">
        <v>397</v>
      </c>
      <c r="C179" s="34"/>
      <c r="D179" s="34"/>
      <c r="E179" s="34"/>
      <c r="F179" s="34"/>
      <c r="G179" s="34"/>
      <c r="H179" s="34"/>
      <c r="I179" s="34"/>
      <c r="J179" s="34"/>
      <c r="K179" s="34"/>
      <c r="L179" s="34"/>
      <c r="M179" s="34"/>
      <c r="N179" s="34"/>
      <c r="O179" s="34"/>
      <c r="P179" s="34"/>
      <c r="Q179" s="34"/>
      <c r="R179" s="34"/>
      <c r="S179" s="34"/>
      <c r="T179" s="34"/>
      <c r="U179" s="33"/>
    </row>
    <row r="180" spans="1:21" ht="22.05" customHeight="1" x14ac:dyDescent="0.3">
      <c r="A180" s="31">
        <v>177</v>
      </c>
      <c r="B180" s="31" t="s">
        <v>398</v>
      </c>
      <c r="C180" s="32"/>
      <c r="D180" s="32"/>
      <c r="E180" s="32"/>
      <c r="F180" s="32"/>
      <c r="G180" s="32"/>
      <c r="H180" s="32"/>
      <c r="I180" s="32"/>
      <c r="J180" s="32"/>
      <c r="K180" s="32"/>
      <c r="L180" s="32"/>
      <c r="M180" s="32"/>
      <c r="N180" s="32"/>
      <c r="O180" s="32"/>
      <c r="P180" s="32"/>
      <c r="Q180" s="32"/>
      <c r="R180" s="32"/>
      <c r="S180" s="32"/>
      <c r="T180" s="32"/>
      <c r="U180" s="33"/>
    </row>
    <row r="181" spans="1:21" ht="22.05" customHeight="1" x14ac:dyDescent="0.3">
      <c r="A181" s="31">
        <v>178</v>
      </c>
      <c r="B181" s="31" t="s">
        <v>399</v>
      </c>
      <c r="C181" s="34"/>
      <c r="D181" s="34"/>
      <c r="E181" s="34"/>
      <c r="F181" s="34"/>
      <c r="G181" s="34"/>
      <c r="H181" s="34"/>
      <c r="I181" s="34"/>
      <c r="J181" s="34"/>
      <c r="K181" s="34"/>
      <c r="L181" s="34"/>
      <c r="M181" s="34"/>
      <c r="N181" s="34"/>
      <c r="O181" s="34"/>
      <c r="P181" s="34"/>
      <c r="Q181" s="34"/>
      <c r="R181" s="34"/>
      <c r="S181" s="34"/>
      <c r="T181" s="34"/>
      <c r="U181" s="33"/>
    </row>
    <row r="182" spans="1:21" ht="22.05" customHeight="1" x14ac:dyDescent="0.3">
      <c r="A182" s="31">
        <v>179</v>
      </c>
      <c r="B182" s="31" t="s">
        <v>400</v>
      </c>
      <c r="C182" s="32"/>
      <c r="D182" s="32"/>
      <c r="E182" s="32"/>
      <c r="F182" s="32"/>
      <c r="G182" s="32"/>
      <c r="H182" s="32"/>
      <c r="I182" s="32"/>
      <c r="J182" s="32"/>
      <c r="K182" s="32"/>
      <c r="L182" s="32"/>
      <c r="M182" s="32"/>
      <c r="N182" s="32"/>
      <c r="O182" s="32"/>
      <c r="P182" s="32"/>
      <c r="Q182" s="32"/>
      <c r="R182" s="32"/>
      <c r="S182" s="32"/>
      <c r="T182" s="32"/>
      <c r="U182" s="33"/>
    </row>
    <row r="183" spans="1:21" ht="22.05" customHeight="1" x14ac:dyDescent="0.3">
      <c r="A183" s="31">
        <v>180</v>
      </c>
      <c r="B183" s="31" t="s">
        <v>401</v>
      </c>
      <c r="C183" s="34"/>
      <c r="D183" s="34"/>
      <c r="E183" s="34"/>
      <c r="F183" s="34"/>
      <c r="G183" s="34"/>
      <c r="H183" s="34"/>
      <c r="I183" s="34"/>
      <c r="J183" s="34"/>
      <c r="K183" s="34"/>
      <c r="L183" s="34"/>
      <c r="M183" s="34"/>
      <c r="N183" s="34"/>
      <c r="O183" s="34"/>
      <c r="P183" s="34"/>
      <c r="Q183" s="34"/>
      <c r="R183" s="34"/>
      <c r="S183" s="34"/>
      <c r="T183" s="34"/>
      <c r="U183" s="33"/>
    </row>
    <row r="184" spans="1:21" ht="22.05" customHeight="1" x14ac:dyDescent="0.3">
      <c r="A184" s="31">
        <v>181</v>
      </c>
      <c r="B184" s="31" t="s">
        <v>402</v>
      </c>
      <c r="C184" s="32"/>
      <c r="D184" s="32"/>
      <c r="E184" s="32"/>
      <c r="F184" s="32"/>
      <c r="G184" s="32"/>
      <c r="H184" s="32"/>
      <c r="I184" s="32"/>
      <c r="J184" s="32"/>
      <c r="K184" s="32"/>
      <c r="L184" s="32"/>
      <c r="M184" s="32"/>
      <c r="N184" s="32"/>
      <c r="O184" s="32"/>
      <c r="P184" s="32"/>
      <c r="Q184" s="32"/>
      <c r="R184" s="32"/>
      <c r="S184" s="32"/>
      <c r="T184" s="32"/>
      <c r="U184" s="33"/>
    </row>
    <row r="185" spans="1:21" ht="22.05" customHeight="1" x14ac:dyDescent="0.3">
      <c r="A185" s="31">
        <v>182</v>
      </c>
      <c r="B185" s="31" t="s">
        <v>403</v>
      </c>
      <c r="C185" s="34"/>
      <c r="D185" s="34"/>
      <c r="E185" s="34"/>
      <c r="F185" s="34"/>
      <c r="G185" s="34"/>
      <c r="H185" s="34"/>
      <c r="I185" s="34"/>
      <c r="J185" s="34"/>
      <c r="K185" s="34"/>
      <c r="L185" s="34"/>
      <c r="M185" s="34"/>
      <c r="N185" s="34"/>
      <c r="O185" s="34"/>
      <c r="P185" s="34"/>
      <c r="Q185" s="34"/>
      <c r="R185" s="34"/>
      <c r="S185" s="34"/>
      <c r="T185" s="34"/>
      <c r="U185" s="33"/>
    </row>
    <row r="186" spans="1:21" ht="22.05" customHeight="1" x14ac:dyDescent="0.3">
      <c r="A186" s="31">
        <v>183</v>
      </c>
      <c r="B186" s="31" t="s">
        <v>404</v>
      </c>
      <c r="C186" s="32"/>
      <c r="D186" s="32"/>
      <c r="E186" s="32"/>
      <c r="F186" s="32"/>
      <c r="G186" s="32"/>
      <c r="H186" s="32"/>
      <c r="I186" s="32"/>
      <c r="J186" s="32"/>
      <c r="K186" s="32"/>
      <c r="L186" s="32"/>
      <c r="M186" s="32"/>
      <c r="N186" s="32"/>
      <c r="O186" s="32"/>
      <c r="P186" s="32"/>
      <c r="Q186" s="32"/>
      <c r="R186" s="32"/>
      <c r="S186" s="32"/>
      <c r="T186" s="32"/>
      <c r="U186" s="33"/>
    </row>
    <row r="187" spans="1:21" ht="22.05" customHeight="1" x14ac:dyDescent="0.3">
      <c r="A187" s="31">
        <v>184</v>
      </c>
      <c r="B187" s="31" t="s">
        <v>405</v>
      </c>
      <c r="C187" s="34"/>
      <c r="D187" s="34"/>
      <c r="E187" s="34"/>
      <c r="F187" s="34"/>
      <c r="G187" s="34"/>
      <c r="H187" s="34"/>
      <c r="I187" s="34"/>
      <c r="J187" s="34"/>
      <c r="K187" s="34"/>
      <c r="L187" s="34"/>
      <c r="M187" s="34"/>
      <c r="N187" s="34"/>
      <c r="O187" s="34"/>
      <c r="P187" s="34"/>
      <c r="Q187" s="34"/>
      <c r="R187" s="34"/>
      <c r="S187" s="34"/>
      <c r="T187" s="34"/>
      <c r="U187" s="33"/>
    </row>
    <row r="188" spans="1:21" ht="22.05" customHeight="1" x14ac:dyDescent="0.3">
      <c r="A188" s="31">
        <v>185</v>
      </c>
      <c r="B188" s="31" t="s">
        <v>406</v>
      </c>
      <c r="C188" s="32"/>
      <c r="D188" s="32"/>
      <c r="E188" s="32"/>
      <c r="F188" s="32"/>
      <c r="G188" s="32"/>
      <c r="H188" s="32"/>
      <c r="I188" s="32"/>
      <c r="J188" s="32"/>
      <c r="K188" s="32"/>
      <c r="L188" s="32"/>
      <c r="M188" s="32"/>
      <c r="N188" s="32"/>
      <c r="O188" s="32"/>
      <c r="P188" s="32"/>
      <c r="Q188" s="32"/>
      <c r="R188" s="32"/>
      <c r="S188" s="32"/>
      <c r="T188" s="32"/>
      <c r="U188" s="33"/>
    </row>
    <row r="189" spans="1:21" ht="22.05" customHeight="1" x14ac:dyDescent="0.3">
      <c r="A189" s="31">
        <v>186</v>
      </c>
      <c r="B189" s="31" t="s">
        <v>407</v>
      </c>
      <c r="C189" s="34"/>
      <c r="D189" s="34"/>
      <c r="E189" s="34"/>
      <c r="F189" s="34"/>
      <c r="G189" s="34"/>
      <c r="H189" s="34"/>
      <c r="I189" s="34"/>
      <c r="J189" s="34"/>
      <c r="K189" s="34"/>
      <c r="L189" s="34"/>
      <c r="M189" s="34"/>
      <c r="N189" s="34"/>
      <c r="O189" s="34"/>
      <c r="P189" s="34"/>
      <c r="Q189" s="34"/>
      <c r="R189" s="34"/>
      <c r="S189" s="34"/>
      <c r="T189" s="34"/>
      <c r="U189" s="33"/>
    </row>
    <row r="190" spans="1:21" ht="22.05" customHeight="1" x14ac:dyDescent="0.3">
      <c r="A190" s="31">
        <v>187</v>
      </c>
      <c r="B190" s="31" t="s">
        <v>408</v>
      </c>
      <c r="C190" s="32"/>
      <c r="D190" s="32"/>
      <c r="E190" s="32"/>
      <c r="F190" s="32"/>
      <c r="G190" s="32"/>
      <c r="H190" s="32"/>
      <c r="I190" s="32"/>
      <c r="J190" s="32"/>
      <c r="K190" s="32"/>
      <c r="L190" s="32"/>
      <c r="M190" s="32"/>
      <c r="N190" s="32"/>
      <c r="O190" s="32"/>
      <c r="P190" s="32"/>
      <c r="Q190" s="32"/>
      <c r="R190" s="32"/>
      <c r="S190" s="32"/>
      <c r="T190" s="32"/>
      <c r="U190" s="33"/>
    </row>
    <row r="191" spans="1:21" ht="22.05" customHeight="1" x14ac:dyDescent="0.3">
      <c r="A191" s="31">
        <v>188</v>
      </c>
      <c r="B191" s="31" t="s">
        <v>409</v>
      </c>
      <c r="C191" s="34"/>
      <c r="D191" s="34"/>
      <c r="E191" s="34"/>
      <c r="F191" s="34"/>
      <c r="G191" s="34"/>
      <c r="H191" s="34"/>
      <c r="I191" s="34"/>
      <c r="J191" s="34"/>
      <c r="K191" s="34"/>
      <c r="L191" s="34"/>
      <c r="M191" s="34"/>
      <c r="N191" s="34"/>
      <c r="O191" s="34"/>
      <c r="P191" s="34"/>
      <c r="Q191" s="34"/>
      <c r="R191" s="34"/>
      <c r="S191" s="34"/>
      <c r="T191" s="34"/>
      <c r="U191" s="33"/>
    </row>
    <row r="192" spans="1:21" ht="22.05" customHeight="1" x14ac:dyDescent="0.3">
      <c r="A192" s="31">
        <v>189</v>
      </c>
      <c r="B192" s="31" t="s">
        <v>410</v>
      </c>
      <c r="C192" s="32"/>
      <c r="D192" s="32"/>
      <c r="E192" s="32"/>
      <c r="F192" s="32"/>
      <c r="G192" s="32"/>
      <c r="H192" s="32"/>
      <c r="I192" s="32"/>
      <c r="J192" s="32"/>
      <c r="K192" s="32"/>
      <c r="L192" s="32"/>
      <c r="M192" s="32"/>
      <c r="N192" s="32"/>
      <c r="O192" s="32"/>
      <c r="P192" s="32"/>
      <c r="Q192" s="32"/>
      <c r="R192" s="32"/>
      <c r="S192" s="32"/>
      <c r="T192" s="32"/>
      <c r="U192" s="33"/>
    </row>
    <row r="193" spans="1:21" ht="22.05" customHeight="1" x14ac:dyDescent="0.3">
      <c r="A193" s="31">
        <v>190</v>
      </c>
      <c r="B193" s="31" t="s">
        <v>411</v>
      </c>
      <c r="C193" s="34"/>
      <c r="D193" s="34"/>
      <c r="E193" s="34"/>
      <c r="F193" s="34"/>
      <c r="G193" s="34"/>
      <c r="H193" s="34"/>
      <c r="I193" s="34"/>
      <c r="J193" s="34"/>
      <c r="K193" s="34"/>
      <c r="L193" s="34"/>
      <c r="M193" s="34"/>
      <c r="N193" s="34"/>
      <c r="O193" s="34"/>
      <c r="P193" s="34"/>
      <c r="Q193" s="34"/>
      <c r="R193" s="34"/>
      <c r="S193" s="34"/>
      <c r="T193" s="34"/>
      <c r="U193" s="33"/>
    </row>
    <row r="194" spans="1:21" ht="22.05" customHeight="1" x14ac:dyDescent="0.3">
      <c r="A194" s="31">
        <v>191</v>
      </c>
      <c r="B194" s="31" t="s">
        <v>412</v>
      </c>
      <c r="C194" s="32"/>
      <c r="D194" s="32"/>
      <c r="E194" s="32"/>
      <c r="F194" s="32"/>
      <c r="G194" s="32"/>
      <c r="H194" s="32"/>
      <c r="I194" s="32"/>
      <c r="J194" s="32"/>
      <c r="K194" s="32"/>
      <c r="L194" s="32"/>
      <c r="M194" s="32"/>
      <c r="N194" s="32"/>
      <c r="O194" s="32"/>
      <c r="P194" s="32"/>
      <c r="Q194" s="32"/>
      <c r="R194" s="32"/>
      <c r="S194" s="32"/>
      <c r="T194" s="32"/>
      <c r="U194" s="33"/>
    </row>
    <row r="195" spans="1:21" ht="22.05" customHeight="1" x14ac:dyDescent="0.3">
      <c r="A195" s="31">
        <v>192</v>
      </c>
      <c r="B195" s="31" t="s">
        <v>413</v>
      </c>
      <c r="C195" s="34"/>
      <c r="D195" s="34"/>
      <c r="E195" s="34"/>
      <c r="F195" s="34"/>
      <c r="G195" s="34"/>
      <c r="H195" s="34"/>
      <c r="I195" s="34"/>
      <c r="J195" s="34"/>
      <c r="K195" s="34"/>
      <c r="L195" s="34"/>
      <c r="M195" s="34"/>
      <c r="N195" s="34"/>
      <c r="O195" s="34"/>
      <c r="P195" s="34"/>
      <c r="Q195" s="34"/>
      <c r="R195" s="34"/>
      <c r="S195" s="34"/>
      <c r="T195" s="34"/>
      <c r="U195" s="33"/>
    </row>
    <row r="196" spans="1:21" ht="22.05" customHeight="1" x14ac:dyDescent="0.3">
      <c r="A196" s="31">
        <v>193</v>
      </c>
      <c r="B196" s="31" t="s">
        <v>414</v>
      </c>
      <c r="C196" s="32"/>
      <c r="D196" s="32"/>
      <c r="E196" s="32"/>
      <c r="F196" s="32"/>
      <c r="G196" s="32"/>
      <c r="H196" s="32"/>
      <c r="I196" s="32"/>
      <c r="J196" s="32"/>
      <c r="K196" s="32"/>
      <c r="L196" s="32"/>
      <c r="M196" s="32"/>
      <c r="N196" s="32"/>
      <c r="O196" s="32"/>
      <c r="P196" s="32"/>
      <c r="Q196" s="32"/>
      <c r="R196" s="32"/>
      <c r="S196" s="32"/>
      <c r="T196" s="32"/>
      <c r="U196" s="33"/>
    </row>
    <row r="197" spans="1:21" ht="22.05" customHeight="1" x14ac:dyDescent="0.3">
      <c r="A197" s="31">
        <v>194</v>
      </c>
      <c r="B197" s="31" t="s">
        <v>415</v>
      </c>
      <c r="C197" s="34"/>
      <c r="D197" s="34"/>
      <c r="E197" s="34"/>
      <c r="F197" s="34"/>
      <c r="G197" s="34"/>
      <c r="H197" s="34"/>
      <c r="I197" s="34"/>
      <c r="J197" s="34"/>
      <c r="K197" s="34"/>
      <c r="L197" s="34"/>
      <c r="M197" s="34"/>
      <c r="N197" s="34"/>
      <c r="O197" s="34"/>
      <c r="P197" s="34"/>
      <c r="Q197" s="34"/>
      <c r="R197" s="34"/>
      <c r="S197" s="34"/>
      <c r="T197" s="34"/>
      <c r="U197" s="33"/>
    </row>
    <row r="198" spans="1:21" ht="22.05" customHeight="1" x14ac:dyDescent="0.3">
      <c r="A198" s="31">
        <v>195</v>
      </c>
      <c r="B198" s="31" t="s">
        <v>416</v>
      </c>
      <c r="C198" s="32"/>
      <c r="D198" s="32"/>
      <c r="E198" s="32"/>
      <c r="F198" s="32"/>
      <c r="G198" s="32"/>
      <c r="H198" s="32"/>
      <c r="I198" s="32"/>
      <c r="J198" s="32"/>
      <c r="K198" s="32"/>
      <c r="L198" s="32"/>
      <c r="M198" s="32"/>
      <c r="N198" s="32"/>
      <c r="O198" s="32"/>
      <c r="P198" s="32"/>
      <c r="Q198" s="32"/>
      <c r="R198" s="32"/>
      <c r="S198" s="32"/>
      <c r="T198" s="32"/>
      <c r="U198" s="33"/>
    </row>
    <row r="199" spans="1:21" ht="22.05" customHeight="1" x14ac:dyDescent="0.3">
      <c r="A199" s="31">
        <v>196</v>
      </c>
      <c r="B199" s="31" t="s">
        <v>417</v>
      </c>
      <c r="C199" s="34"/>
      <c r="D199" s="34"/>
      <c r="E199" s="34"/>
      <c r="F199" s="34"/>
      <c r="G199" s="34"/>
      <c r="H199" s="34"/>
      <c r="I199" s="34"/>
      <c r="J199" s="34"/>
      <c r="K199" s="34"/>
      <c r="L199" s="34"/>
      <c r="M199" s="34"/>
      <c r="N199" s="34"/>
      <c r="O199" s="34"/>
      <c r="P199" s="34"/>
      <c r="Q199" s="34"/>
      <c r="R199" s="34"/>
      <c r="S199" s="34"/>
      <c r="T199" s="34"/>
      <c r="U199" s="33"/>
    </row>
    <row r="200" spans="1:21" ht="22.05" customHeight="1" x14ac:dyDescent="0.3">
      <c r="A200" s="31">
        <v>197</v>
      </c>
      <c r="B200" s="31" t="s">
        <v>418</v>
      </c>
      <c r="C200" s="32"/>
      <c r="D200" s="32"/>
      <c r="E200" s="32"/>
      <c r="F200" s="32"/>
      <c r="G200" s="32"/>
      <c r="H200" s="32"/>
      <c r="I200" s="32"/>
      <c r="J200" s="32"/>
      <c r="K200" s="32"/>
      <c r="L200" s="32"/>
      <c r="M200" s="32"/>
      <c r="N200" s="32"/>
      <c r="O200" s="32"/>
      <c r="P200" s="32"/>
      <c r="Q200" s="32"/>
      <c r="R200" s="32"/>
      <c r="S200" s="32"/>
      <c r="T200" s="32"/>
      <c r="U200" s="33"/>
    </row>
    <row r="201" spans="1:21" ht="22.05" customHeight="1" x14ac:dyDescent="0.3">
      <c r="A201" s="31">
        <v>198</v>
      </c>
      <c r="B201" s="31" t="s">
        <v>419</v>
      </c>
      <c r="C201" s="34"/>
      <c r="D201" s="34"/>
      <c r="E201" s="34"/>
      <c r="F201" s="34"/>
      <c r="G201" s="34"/>
      <c r="H201" s="34"/>
      <c r="I201" s="34"/>
      <c r="J201" s="34"/>
      <c r="K201" s="34"/>
      <c r="L201" s="34"/>
      <c r="M201" s="34"/>
      <c r="N201" s="34"/>
      <c r="O201" s="34"/>
      <c r="P201" s="34"/>
      <c r="Q201" s="34"/>
      <c r="R201" s="34"/>
      <c r="S201" s="34"/>
      <c r="T201" s="34"/>
      <c r="U201" s="33"/>
    </row>
    <row r="202" spans="1:21" ht="22.05" customHeight="1" x14ac:dyDescent="0.3">
      <c r="A202" s="31">
        <v>199</v>
      </c>
      <c r="B202" s="31" t="s">
        <v>420</v>
      </c>
      <c r="C202" s="32"/>
      <c r="D202" s="32"/>
      <c r="E202" s="32"/>
      <c r="F202" s="32"/>
      <c r="G202" s="32"/>
      <c r="H202" s="32"/>
      <c r="I202" s="32"/>
      <c r="J202" s="32"/>
      <c r="K202" s="32"/>
      <c r="L202" s="32"/>
      <c r="M202" s="32"/>
      <c r="N202" s="32"/>
      <c r="O202" s="32"/>
      <c r="P202" s="32"/>
      <c r="Q202" s="32"/>
      <c r="R202" s="32"/>
      <c r="S202" s="32"/>
      <c r="T202" s="32"/>
      <c r="U202" s="33"/>
    </row>
    <row r="203" spans="1:21" ht="22.05" customHeight="1" x14ac:dyDescent="0.3">
      <c r="A203" s="31">
        <v>200</v>
      </c>
      <c r="B203" s="31" t="s">
        <v>421</v>
      </c>
      <c r="C203" s="34"/>
      <c r="D203" s="34"/>
      <c r="E203" s="34"/>
      <c r="F203" s="34"/>
      <c r="G203" s="34"/>
      <c r="H203" s="34"/>
      <c r="I203" s="34"/>
      <c r="J203" s="34"/>
      <c r="K203" s="34"/>
      <c r="L203" s="34"/>
      <c r="M203" s="34"/>
      <c r="N203" s="34"/>
      <c r="O203" s="34"/>
      <c r="P203" s="34"/>
      <c r="Q203" s="34"/>
      <c r="R203" s="34"/>
      <c r="S203" s="34"/>
      <c r="T203" s="34"/>
      <c r="U203" s="33"/>
    </row>
    <row r="205" spans="1:21" ht="16.149999999999999" x14ac:dyDescent="0.3">
      <c r="A205" s="86" t="s">
        <v>422</v>
      </c>
      <c r="B205" s="84"/>
      <c r="C205" s="84"/>
      <c r="D205" s="84"/>
      <c r="E205" s="84"/>
      <c r="F205" s="84"/>
      <c r="G205" s="84"/>
      <c r="H205" s="84"/>
      <c r="I205" s="84"/>
      <c r="J205" s="84"/>
      <c r="K205" s="84"/>
      <c r="L205" s="84"/>
      <c r="M205" s="84"/>
      <c r="N205" s="84"/>
      <c r="O205" s="84"/>
      <c r="P205" s="35">
        <f>SUM(P4:P203)</f>
        <v>61750</v>
      </c>
      <c r="Q205" s="85"/>
      <c r="R205" s="84"/>
      <c r="S205" s="84"/>
      <c r="T205" s="84"/>
      <c r="U205" s="84"/>
    </row>
  </sheetData>
  <mergeCells count="4">
    <mergeCell ref="A1:U1"/>
    <mergeCell ref="Q205:U205"/>
    <mergeCell ref="A205:O205"/>
    <mergeCell ref="A2:U2"/>
  </mergeCells>
  <conditionalFormatting sqref="A4:U203">
    <cfRule type="expression" dxfId="2" priority="1">
      <formula>$H4="✅ Completed"</formula>
    </cfRule>
    <cfRule type="expression" dxfId="1" priority="2">
      <formula>$G4="🔴 Critical"</formula>
    </cfRule>
    <cfRule type="expression" dxfId="0" priority="3">
      <formula>$O4="🚨 OVERDUE"</formula>
    </cfRule>
  </conditionalFormatting>
  <conditionalFormatting sqref="S4:S203">
    <cfRule type="colorScale" priority="4">
      <colorScale>
        <cfvo type="num" val="0"/>
        <cfvo type="num" val="50"/>
        <cfvo type="num" val="100"/>
        <color rgb="FFFF0000"/>
        <color rgb="FFFFFF00"/>
        <color rgb="FF00B050"/>
      </colorScale>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P56"/>
  <sheetViews>
    <sheetView zoomScale="90" workbookViewId="0"/>
  </sheetViews>
  <sheetFormatPr defaultRowHeight="14.4" x14ac:dyDescent="0.3"/>
  <cols>
    <col min="1" max="1" width="2" customWidth="1"/>
    <col min="2" max="6" width="17" customWidth="1"/>
    <col min="7" max="7" width="3" customWidth="1"/>
    <col min="8" max="8" width="21" customWidth="1"/>
    <col min="9" max="9" width="15" customWidth="1"/>
    <col min="10" max="10" width="3" customWidth="1"/>
    <col min="11" max="12" width="21" customWidth="1"/>
    <col min="13" max="13" width="3" customWidth="1"/>
    <col min="14" max="14" width="21" customWidth="1"/>
    <col min="15" max="15" width="15" customWidth="1"/>
    <col min="16" max="16" width="21" customWidth="1"/>
    <col min="17" max="17" width="3" customWidth="1"/>
  </cols>
  <sheetData>
    <row r="1" spans="2:16" ht="45.95" customHeight="1" x14ac:dyDescent="0.3">
      <c r="B1" s="124" t="s">
        <v>423</v>
      </c>
      <c r="C1" s="84"/>
      <c r="D1" s="84"/>
      <c r="E1" s="84"/>
      <c r="F1" s="84"/>
      <c r="G1" s="84"/>
      <c r="H1" s="84"/>
      <c r="I1" s="84"/>
      <c r="J1" s="84"/>
      <c r="K1" s="84"/>
      <c r="L1" s="84"/>
      <c r="M1" s="84"/>
      <c r="N1" s="84"/>
      <c r="O1" s="84"/>
      <c r="P1" s="84"/>
    </row>
    <row r="2" spans="2:16" ht="4.05" customHeight="1" x14ac:dyDescent="0.3">
      <c r="B2" s="87"/>
      <c r="C2" s="84"/>
      <c r="D2" s="84"/>
      <c r="E2" s="84"/>
      <c r="F2" s="84"/>
      <c r="G2" s="84"/>
      <c r="H2" s="84"/>
      <c r="I2" s="84"/>
      <c r="J2" s="84"/>
      <c r="K2" s="84"/>
      <c r="L2" s="84"/>
      <c r="M2" s="84"/>
      <c r="N2" s="84"/>
      <c r="O2" s="84"/>
      <c r="P2" s="84"/>
    </row>
    <row r="3" spans="2:16" ht="8.1" customHeight="1" x14ac:dyDescent="0.3"/>
    <row r="4" spans="2:16" ht="27.95" customHeight="1" x14ac:dyDescent="0.3">
      <c r="B4" s="133" t="s">
        <v>424</v>
      </c>
      <c r="C4" s="84"/>
      <c r="D4" s="84"/>
      <c r="E4" s="84"/>
      <c r="F4" s="84"/>
      <c r="G4" s="84"/>
      <c r="H4" s="84"/>
      <c r="I4" s="84"/>
      <c r="J4" s="84"/>
      <c r="K4" s="84"/>
      <c r="L4" s="84"/>
      <c r="M4" s="84"/>
      <c r="N4" s="84"/>
      <c r="O4" s="84"/>
      <c r="P4" s="84"/>
    </row>
    <row r="5" spans="2:16" ht="29.95" customHeight="1" x14ac:dyDescent="0.3">
      <c r="B5" s="98" t="s">
        <v>425</v>
      </c>
      <c r="C5" s="84"/>
      <c r="D5" s="101" t="s">
        <v>30</v>
      </c>
      <c r="E5" s="84"/>
      <c r="F5" s="131" t="s">
        <v>16</v>
      </c>
      <c r="G5" s="84"/>
      <c r="H5" s="90" t="s">
        <v>9</v>
      </c>
      <c r="I5" s="84"/>
      <c r="J5" s="117" t="s">
        <v>426</v>
      </c>
      <c r="K5" s="84"/>
      <c r="L5" s="135" t="s">
        <v>23</v>
      </c>
      <c r="M5" s="84"/>
      <c r="N5" s="117" t="s">
        <v>427</v>
      </c>
      <c r="O5" s="84"/>
    </row>
    <row r="6" spans="2:16" ht="29.95" customHeight="1" x14ac:dyDescent="0.3">
      <c r="B6" s="134">
        <f>COUNTA('📋 Task Tracker'!C4:C203)-COUNTBLANK('📋 Task Tracker'!C4:C203)</f>
        <v>-140</v>
      </c>
      <c r="C6" s="84"/>
      <c r="D6" s="121">
        <f>COUNTIF('📋 Task Tracker'!H4:H203,"✅ Completed")</f>
        <v>20</v>
      </c>
      <c r="E6" s="84"/>
      <c r="F6" s="122">
        <f>COUNTIF('📋 Task Tracker'!H4:H203,"🔄 In Progress")</f>
        <v>3</v>
      </c>
      <c r="G6" s="84"/>
      <c r="H6" s="96">
        <f>COUNTIF('📋 Task Tracker'!H4:H203,"⏳ Pending")</f>
        <v>6</v>
      </c>
      <c r="I6" s="84"/>
      <c r="J6" s="99">
        <f ca="1">COUNTIF('📋 Task Tracker'!O4:O203,"🚨 OVERDUE")</f>
        <v>0</v>
      </c>
      <c r="K6" s="84"/>
      <c r="L6" s="129">
        <f>COUNTIF('📋 Task Tracker'!H4:H203,"⏸ On Hold")</f>
        <v>1</v>
      </c>
      <c r="M6" s="84"/>
      <c r="N6" s="99">
        <f>COUNTIFS('📋 Task Tracker'!G4:G203,"🔴 Critical",'📋 Task Tracker'!H4:H203,"⏳ Pending")</f>
        <v>2</v>
      </c>
      <c r="O6" s="84"/>
    </row>
    <row r="7" spans="2:16" ht="29.95" customHeight="1" x14ac:dyDescent="0.3">
      <c r="B7" s="84"/>
      <c r="C7" s="84"/>
      <c r="D7" s="84"/>
      <c r="E7" s="84"/>
      <c r="F7" s="84"/>
      <c r="G7" s="84"/>
      <c r="H7" s="84"/>
      <c r="I7" s="84"/>
      <c r="J7" s="84"/>
      <c r="K7" s="84"/>
      <c r="L7" s="84"/>
      <c r="M7" s="84"/>
      <c r="N7" s="84"/>
      <c r="O7" s="84"/>
    </row>
    <row r="8" spans="2:16" ht="9.9499999999999993" customHeight="1" x14ac:dyDescent="0.3"/>
    <row r="9" spans="2:16" ht="27.95" customHeight="1" x14ac:dyDescent="0.3">
      <c r="B9" s="133" t="s">
        <v>428</v>
      </c>
      <c r="C9" s="84"/>
      <c r="D9" s="84"/>
      <c r="E9" s="84"/>
      <c r="F9" s="84"/>
      <c r="G9" s="84"/>
      <c r="H9" s="84"/>
      <c r="J9" s="95" t="s">
        <v>429</v>
      </c>
      <c r="K9" s="84"/>
      <c r="L9" s="84"/>
      <c r="M9" s="84"/>
      <c r="N9" s="84"/>
      <c r="O9" s="84"/>
      <c r="P9" s="84"/>
    </row>
    <row r="10" spans="2:16" ht="24.05" customHeight="1" x14ac:dyDescent="0.3">
      <c r="B10" s="92" t="s">
        <v>9</v>
      </c>
      <c r="C10" s="84"/>
      <c r="D10" s="84"/>
      <c r="E10" s="84"/>
      <c r="F10" s="93">
        <f>COUNTIF('📋 Task Tracker'!H4:H203,"⏳ Pending")</f>
        <v>6</v>
      </c>
      <c r="G10" s="84"/>
      <c r="H10" s="84"/>
      <c r="J10" s="94" t="s">
        <v>10</v>
      </c>
      <c r="K10" s="84"/>
      <c r="L10" s="84"/>
      <c r="M10" s="84"/>
      <c r="N10" s="106">
        <f>COUNTIF('📋 Task Tracker'!G4:G203,"🔴 Critical")</f>
        <v>8</v>
      </c>
      <c r="O10" s="84"/>
      <c r="P10" s="84"/>
    </row>
    <row r="11" spans="2:16" ht="24.05" customHeight="1" x14ac:dyDescent="0.3">
      <c r="B11" s="102" t="s">
        <v>16</v>
      </c>
      <c r="C11" s="84"/>
      <c r="D11" s="84"/>
      <c r="E11" s="84"/>
      <c r="F11" s="123">
        <f>COUNTIF('📋 Task Tracker'!H4:H203,"🔄 In Progress")</f>
        <v>3</v>
      </c>
      <c r="G11" s="84"/>
      <c r="H11" s="84"/>
      <c r="J11" s="102" t="s">
        <v>17</v>
      </c>
      <c r="K11" s="84"/>
      <c r="L11" s="84"/>
      <c r="M11" s="84"/>
      <c r="N11" s="123">
        <f>COUNTIF('📋 Task Tracker'!G4:G203,"🟠 High")</f>
        <v>11</v>
      </c>
      <c r="O11" s="84"/>
      <c r="P11" s="84"/>
    </row>
    <row r="12" spans="2:16" ht="24.05" customHeight="1" x14ac:dyDescent="0.3">
      <c r="B12" s="89" t="s">
        <v>23</v>
      </c>
      <c r="C12" s="84"/>
      <c r="D12" s="84"/>
      <c r="E12" s="84"/>
      <c r="F12" s="91">
        <f>COUNTIF('📋 Task Tracker'!H4:H203,"⏸ On Hold")</f>
        <v>1</v>
      </c>
      <c r="G12" s="84"/>
      <c r="H12" s="84"/>
      <c r="J12" s="92" t="s">
        <v>24</v>
      </c>
      <c r="K12" s="84"/>
      <c r="L12" s="84"/>
      <c r="M12" s="84"/>
      <c r="N12" s="93">
        <f>COUNTIF('📋 Task Tracker'!G4:G203,"🟡 Medium")</f>
        <v>8</v>
      </c>
      <c r="O12" s="84"/>
      <c r="P12" s="84"/>
    </row>
    <row r="13" spans="2:16" ht="24.05" customHeight="1" x14ac:dyDescent="0.3">
      <c r="B13" s="100" t="s">
        <v>30</v>
      </c>
      <c r="C13" s="84"/>
      <c r="D13" s="84"/>
      <c r="E13" s="84"/>
      <c r="F13" s="128">
        <f>COUNTIF('📋 Task Tracker'!H4:H203,"✅ Completed")</f>
        <v>20</v>
      </c>
      <c r="G13" s="84"/>
      <c r="H13" s="84"/>
      <c r="J13" s="100" t="s">
        <v>31</v>
      </c>
      <c r="K13" s="84"/>
      <c r="L13" s="84"/>
      <c r="M13" s="84"/>
      <c r="N13" s="128">
        <f>COUNTIF('📋 Task Tracker'!G4:G203,"🟢 Low")</f>
        <v>3</v>
      </c>
      <c r="O13" s="84"/>
      <c r="P13" s="84"/>
    </row>
    <row r="14" spans="2:16" ht="24.05" customHeight="1" x14ac:dyDescent="0.3">
      <c r="B14" s="94" t="s">
        <v>37</v>
      </c>
      <c r="C14" s="84"/>
      <c r="D14" s="84"/>
      <c r="E14" s="84"/>
      <c r="F14" s="106">
        <f>COUNTIF('📋 Task Tracker'!H4:H203,"❌ Cancelled")</f>
        <v>0</v>
      </c>
      <c r="G14" s="84"/>
      <c r="H14" s="84"/>
    </row>
    <row r="16" spans="2:16" ht="8.1" customHeight="1" x14ac:dyDescent="0.3"/>
    <row r="17" spans="2:16" ht="27.95" customHeight="1" x14ac:dyDescent="0.3">
      <c r="B17" s="104" t="s">
        <v>430</v>
      </c>
      <c r="C17" s="84"/>
      <c r="D17" s="84"/>
      <c r="E17" s="84"/>
      <c r="F17" s="84"/>
      <c r="G17" s="84"/>
      <c r="H17" s="84"/>
      <c r="I17" s="84"/>
      <c r="J17" s="84"/>
      <c r="K17" s="84"/>
      <c r="L17" s="84"/>
      <c r="M17" s="84"/>
      <c r="N17" s="84"/>
      <c r="O17" s="84"/>
      <c r="P17" s="84"/>
    </row>
    <row r="18" spans="2:16" ht="22.05" customHeight="1" x14ac:dyDescent="0.3">
      <c r="B18" s="36" t="s">
        <v>5</v>
      </c>
      <c r="D18" s="36" t="s">
        <v>431</v>
      </c>
      <c r="F18" s="36" t="s">
        <v>432</v>
      </c>
      <c r="H18" s="36" t="s">
        <v>433</v>
      </c>
      <c r="J18" s="36" t="s">
        <v>434</v>
      </c>
      <c r="L18" s="36" t="s">
        <v>435</v>
      </c>
      <c r="N18" s="36" t="s">
        <v>436</v>
      </c>
    </row>
    <row r="19" spans="2:16" ht="24.05" customHeight="1" x14ac:dyDescent="0.3">
      <c r="B19" s="37" t="s">
        <v>437</v>
      </c>
      <c r="D19" s="38">
        <f>COUNTIF('📋 Task Tracker'!F4:F203,"Term 1")</f>
        <v>12</v>
      </c>
      <c r="F19" s="38">
        <f>COUNTIFS('📋 Task Tracker'!F4:F203,"Term 1",'📋 Task Tracker'!H4:H203,"✅ Completed")</f>
        <v>12</v>
      </c>
      <c r="H19" s="38">
        <f>COUNTIFS('📋 Task Tracker'!F4:F203,"Term 1",'📋 Task Tracker'!H4:H203,"🔄 In Progress")</f>
        <v>0</v>
      </c>
      <c r="J19" s="38">
        <f>COUNTIFS('📋 Task Tracker'!F4:F203,"Term 1",'📋 Task Tracker'!H4:H203,"⏳ Pending")</f>
        <v>0</v>
      </c>
      <c r="L19" s="39">
        <f>SUMIF('📋 Task Tracker'!F4:F203,"Term 1",'📋 Task Tracker'!P4:P203)</f>
        <v>20200</v>
      </c>
      <c r="N19" s="40">
        <f>IFERROR(COUNTIFS('📋 Task Tracker'!F4:F203,"Term 1",'📋 Task Tracker'!H4:H203,"✅ Completed")/COUNTIF('📋 Task Tracker'!F4:F203,"Term 1"),0)</f>
        <v>1</v>
      </c>
    </row>
    <row r="20" spans="2:16" ht="24.05" customHeight="1" x14ac:dyDescent="0.3">
      <c r="B20" s="41" t="s">
        <v>438</v>
      </c>
      <c r="D20" s="42">
        <f>COUNTIF('📋 Task Tracker'!F4:F203,"Term 2")</f>
        <v>8</v>
      </c>
      <c r="F20" s="42">
        <f>COUNTIFS('📋 Task Tracker'!F4:F203,"Term 2",'📋 Task Tracker'!H4:H203,"✅ Completed")</f>
        <v>8</v>
      </c>
      <c r="H20" s="42">
        <f>COUNTIFS('📋 Task Tracker'!F4:F203,"Term 2",'📋 Task Tracker'!H4:H203,"🔄 In Progress")</f>
        <v>0</v>
      </c>
      <c r="J20" s="42">
        <f>COUNTIFS('📋 Task Tracker'!F4:F203,"Term 2",'📋 Task Tracker'!H4:H203,"⏳ Pending")</f>
        <v>0</v>
      </c>
      <c r="L20" s="43">
        <f>SUMIF('📋 Task Tracker'!F4:F203,"Term 2",'📋 Task Tracker'!P4:P203)</f>
        <v>18500</v>
      </c>
      <c r="N20" s="44">
        <f>IFERROR(COUNTIFS('📋 Task Tracker'!F4:F203,"Term 2",'📋 Task Tracker'!H4:H203,"✅ Completed")/COUNTIF('📋 Task Tracker'!F4:F203,"Term 2"),0)</f>
        <v>1</v>
      </c>
    </row>
    <row r="21" spans="2:16" ht="24.05" customHeight="1" x14ac:dyDescent="0.3">
      <c r="B21" s="45" t="s">
        <v>439</v>
      </c>
      <c r="D21" s="46">
        <f>COUNTIF('📋 Task Tracker'!F4:F203,"Term 3")</f>
        <v>10</v>
      </c>
      <c r="F21" s="46">
        <f>COUNTIFS('📋 Task Tracker'!F4:F203,"Term 3",'📋 Task Tracker'!H4:H203,"✅ Completed")</f>
        <v>0</v>
      </c>
      <c r="H21" s="46">
        <f>COUNTIFS('📋 Task Tracker'!F4:F203,"Term 3",'📋 Task Tracker'!H4:H203,"🔄 In Progress")</f>
        <v>3</v>
      </c>
      <c r="J21" s="46">
        <f>COUNTIFS('📋 Task Tracker'!F4:F203,"Term 3",'📋 Task Tracker'!H4:H203,"⏳ Pending")</f>
        <v>6</v>
      </c>
      <c r="L21" s="47">
        <f>SUMIF('📋 Task Tracker'!F4:F203,"Term 3",'📋 Task Tracker'!P4:P203)</f>
        <v>23050</v>
      </c>
      <c r="N21" s="48">
        <f>IFERROR(COUNTIFS('📋 Task Tracker'!F4:F203,"Term 3",'📋 Task Tracker'!H4:H203,"✅ Completed")/COUNTIF('📋 Task Tracker'!F4:F203,"Term 3"),0)</f>
        <v>0</v>
      </c>
    </row>
    <row r="22" spans="2:16" ht="24.05" customHeight="1" x14ac:dyDescent="0.3">
      <c r="B22" s="49" t="s">
        <v>440</v>
      </c>
      <c r="D22" s="50">
        <f>COUNTIF('📋 Task Tracker'!F4:F203,"Summer")</f>
        <v>0</v>
      </c>
      <c r="F22" s="50">
        <f>COUNTIFS('📋 Task Tracker'!F4:F203,"Summer",'📋 Task Tracker'!H4:H203,"✅ Completed")</f>
        <v>0</v>
      </c>
      <c r="H22" s="50">
        <f>COUNTIFS('📋 Task Tracker'!F4:F203,"Summer",'📋 Task Tracker'!H4:H203,"🔄 In Progress")</f>
        <v>0</v>
      </c>
      <c r="J22" s="50">
        <f>COUNTIFS('📋 Task Tracker'!F4:F203,"Summer",'📋 Task Tracker'!H4:H203,"⏳ Pending")</f>
        <v>0</v>
      </c>
      <c r="L22" s="51">
        <f>SUMIF('📋 Task Tracker'!F4:F203,"Summer",'📋 Task Tracker'!P4:P203)</f>
        <v>0</v>
      </c>
      <c r="N22" s="52">
        <f>IFERROR(COUNTIFS('📋 Task Tracker'!F4:F203,"Summer",'📋 Task Tracker'!H4:H203,"✅ Completed")/COUNTIF('📋 Task Tracker'!F4:F203,"Summer"),0)</f>
        <v>0</v>
      </c>
    </row>
    <row r="24" spans="2:16" ht="8.1" customHeight="1" x14ac:dyDescent="0.3"/>
    <row r="25" spans="2:16" ht="27.95" customHeight="1" x14ac:dyDescent="0.3">
      <c r="B25" s="116" t="s">
        <v>441</v>
      </c>
      <c r="C25" s="84"/>
      <c r="D25" s="84"/>
      <c r="E25" s="84"/>
      <c r="F25" s="84"/>
      <c r="G25" s="84"/>
      <c r="H25" s="84"/>
      <c r="J25" s="95" t="s">
        <v>442</v>
      </c>
      <c r="K25" s="84"/>
      <c r="L25" s="84"/>
      <c r="M25" s="84"/>
      <c r="N25" s="84"/>
      <c r="O25" s="84"/>
      <c r="P25" s="84"/>
    </row>
    <row r="26" spans="2:16" ht="24.05" customHeight="1" x14ac:dyDescent="0.3">
      <c r="B26" s="109" t="s">
        <v>443</v>
      </c>
      <c r="C26" s="84"/>
      <c r="D26" s="84"/>
      <c r="E26" s="114">
        <f>IFERROR(COUNTIF('📋 Task Tracker'!H4:H203,"✅ Completed")/COUNTA('📋 Task Tracker'!C4:C203),0)</f>
        <v>0.66666666666666663</v>
      </c>
      <c r="F26" s="84"/>
      <c r="G26" s="107" t="s">
        <v>444</v>
      </c>
      <c r="H26" s="108"/>
      <c r="J26" s="97" t="s">
        <v>445</v>
      </c>
      <c r="K26" s="84"/>
      <c r="L26" s="84"/>
      <c r="M26" s="84"/>
      <c r="N26" s="115">
        <f>SUM('📋 Task Tracker'!P4:P203)</f>
        <v>61750</v>
      </c>
      <c r="O26" s="84"/>
      <c r="P26" s="84"/>
    </row>
    <row r="27" spans="2:16" ht="24.05" customHeight="1" x14ac:dyDescent="0.3">
      <c r="B27" s="103" t="s">
        <v>446</v>
      </c>
      <c r="C27" s="84"/>
      <c r="D27" s="84"/>
      <c r="E27" s="110">
        <f ca="1">IFERROR(COUNTIFS('📋 Task Tracker'!H4:H203,"✅ Completed",'📋 Task Tracker'!O4:O203,"&lt;&gt;🚨 OVERDUE")/COUNTIF('📋 Task Tracker'!H4:H203,"✅ Completed"),0)</f>
        <v>1</v>
      </c>
      <c r="F27" s="84"/>
      <c r="G27" s="107" t="s">
        <v>447</v>
      </c>
      <c r="H27" s="108"/>
      <c r="J27" s="103" t="s">
        <v>448</v>
      </c>
      <c r="K27" s="84"/>
      <c r="L27" s="84"/>
      <c r="M27" s="84"/>
      <c r="N27" s="111">
        <f>SUMIF('📋 Task Tracker'!H4:H203,"✅ Completed",'📋 Task Tracker'!P4:P203)</f>
        <v>38700</v>
      </c>
      <c r="O27" s="84"/>
      <c r="P27" s="84"/>
    </row>
    <row r="28" spans="2:16" ht="24.05" customHeight="1" x14ac:dyDescent="0.3">
      <c r="B28" s="125" t="s">
        <v>449</v>
      </c>
      <c r="C28" s="84"/>
      <c r="D28" s="84"/>
      <c r="E28" s="132">
        <f>IFERROR(AVERAGEIF('📋 Task Tracker'!H4:H203,"&lt;&gt;",'📋 Task Tracker'!S4:S203),0)</f>
        <v>81.333333333333329</v>
      </c>
      <c r="F28" s="84"/>
      <c r="G28" s="107" t="s">
        <v>450</v>
      </c>
      <c r="H28" s="108"/>
      <c r="J28" s="120" t="s">
        <v>451</v>
      </c>
      <c r="K28" s="84"/>
      <c r="L28" s="84"/>
      <c r="M28" s="84"/>
      <c r="N28" s="130">
        <f>SUMIF('📋 Task Tracker'!H4:H203,"⏳ Pending",'📋 Task Tracker'!P4:P203)+SUMIF('📋 Task Tracker'!H4:H203,"🔄 In Progress",'📋 Task Tracker'!P4:P203)</f>
        <v>22600</v>
      </c>
      <c r="O28" s="84"/>
      <c r="P28" s="84"/>
    </row>
    <row r="29" spans="2:16" ht="24.05" customHeight="1" x14ac:dyDescent="0.3">
      <c r="B29" s="120" t="s">
        <v>452</v>
      </c>
      <c r="C29" s="84"/>
      <c r="D29" s="84"/>
      <c r="E29" s="127">
        <f ca="1">IFERROR(AVERAGEIF('📋 Task Tracker'!M4:M203,"&lt;&gt;",'📋 Task Tracker'!N4:N203),0)</f>
        <v>106.5</v>
      </c>
      <c r="F29" s="84"/>
      <c r="G29" s="107" t="s">
        <v>453</v>
      </c>
      <c r="H29" s="108"/>
      <c r="J29" s="118" t="s">
        <v>454</v>
      </c>
      <c r="K29" s="84"/>
      <c r="L29" s="84"/>
      <c r="M29" s="84"/>
      <c r="N29" s="126">
        <f>SUMIF('📋 Task Tracker'!H4:H203,"⏸ On Hold",'📋 Task Tracker'!P4:P203)</f>
        <v>450</v>
      </c>
      <c r="O29" s="84"/>
      <c r="P29" s="84"/>
    </row>
    <row r="30" spans="2:16" ht="24.05" customHeight="1" x14ac:dyDescent="0.3">
      <c r="B30" s="112" t="s">
        <v>455</v>
      </c>
      <c r="C30" s="84"/>
      <c r="D30" s="84"/>
      <c r="E30" s="105">
        <f ca="1">IFERROR(COUNTIF('📋 Task Tracker'!O4:O203,"🚨 OVERDUE")/COUNTA('📋 Task Tracker'!C4:C203),0)</f>
        <v>0</v>
      </c>
      <c r="F30" s="84"/>
      <c r="G30" s="107" t="s">
        <v>456</v>
      </c>
      <c r="H30" s="108"/>
      <c r="J30" s="112" t="s">
        <v>457</v>
      </c>
      <c r="K30" s="84"/>
      <c r="L30" s="84"/>
      <c r="M30" s="84"/>
      <c r="N30" s="119">
        <f>SUMIF('📋 Task Tracker'!G4:G203,"🔴 Critical",'📋 Task Tracker'!P4:P203)</f>
        <v>20400</v>
      </c>
      <c r="O30" s="84"/>
      <c r="P30" s="84"/>
    </row>
    <row r="32" spans="2:16" ht="8.1" customHeight="1" x14ac:dyDescent="0.3"/>
    <row r="33" spans="2:16" ht="27.95" customHeight="1" x14ac:dyDescent="0.3">
      <c r="B33" s="104" t="s">
        <v>458</v>
      </c>
      <c r="C33" s="84"/>
      <c r="D33" s="84"/>
      <c r="E33" s="84"/>
      <c r="F33" s="84"/>
      <c r="G33" s="84"/>
      <c r="H33" s="84"/>
      <c r="I33" s="84"/>
      <c r="J33" s="84"/>
      <c r="K33" s="84"/>
      <c r="L33" s="84"/>
      <c r="M33" s="84"/>
      <c r="N33" s="84"/>
      <c r="O33" s="84"/>
      <c r="P33" s="84"/>
    </row>
    <row r="34" spans="2:16" ht="22.05" customHeight="1" x14ac:dyDescent="0.3">
      <c r="B34" s="36" t="s">
        <v>3</v>
      </c>
      <c r="D34" s="36" t="s">
        <v>459</v>
      </c>
      <c r="E34" s="36" t="s">
        <v>432</v>
      </c>
      <c r="F34" s="36" t="s">
        <v>434</v>
      </c>
      <c r="G34" s="36" t="s">
        <v>433</v>
      </c>
      <c r="H34" s="36" t="s">
        <v>460</v>
      </c>
      <c r="I34" s="36" t="s">
        <v>461</v>
      </c>
    </row>
    <row r="35" spans="2:16" ht="20.05" customHeight="1" x14ac:dyDescent="0.3">
      <c r="B35" s="53" t="s">
        <v>11</v>
      </c>
      <c r="D35" s="54">
        <f>COUNTIF('📋 Task Tracker'!D4:D203,"Electrical")</f>
        <v>5</v>
      </c>
      <c r="E35" s="54">
        <f>COUNTIFS('📋 Task Tracker'!D4:D203,"Electrical",'📋 Task Tracker'!H4:H203,"✅ Completed")</f>
        <v>3</v>
      </c>
      <c r="F35" s="54">
        <f>COUNTIFS('📋 Task Tracker'!D4:D203,"Electrical",'📋 Task Tracker'!H4:H203,"⏳ Pending")</f>
        <v>1</v>
      </c>
      <c r="G35" s="54">
        <f>COUNTIFS('📋 Task Tracker'!D4:D203,"Electrical",'📋 Task Tracker'!H4:H203,"🔄 In Progress")</f>
        <v>0</v>
      </c>
      <c r="H35" s="54">
        <f>COUNTIFS('📋 Task Tracker'!D4:D203,"Electrical",'📋 Task Tracker'!H4:H203,"⏸ On Hold")</f>
        <v>1</v>
      </c>
      <c r="I35" s="55">
        <f>SUMIF('📋 Task Tracker'!D4:D203,"Electrical",'📋 Task Tracker'!P4:P203)</f>
        <v>9200</v>
      </c>
    </row>
    <row r="36" spans="2:16" ht="20.05" customHeight="1" x14ac:dyDescent="0.3">
      <c r="B36" s="56" t="s">
        <v>18</v>
      </c>
      <c r="D36" s="57">
        <f>COUNTIF('📋 Task Tracker'!D4:D203,"Plumbing")</f>
        <v>3</v>
      </c>
      <c r="E36" s="57">
        <f>COUNTIFS('📋 Task Tracker'!D4:D203,"Plumbing",'📋 Task Tracker'!H4:H203,"✅ Completed")</f>
        <v>3</v>
      </c>
      <c r="F36" s="57">
        <f>COUNTIFS('📋 Task Tracker'!D4:D203,"Plumbing",'📋 Task Tracker'!H4:H203,"⏳ Pending")</f>
        <v>0</v>
      </c>
      <c r="G36" s="57">
        <f>COUNTIFS('📋 Task Tracker'!D4:D203,"Plumbing",'📋 Task Tracker'!H4:H203,"🔄 In Progress")</f>
        <v>0</v>
      </c>
      <c r="H36" s="57">
        <f>COUNTIFS('📋 Task Tracker'!D4:D203,"Plumbing",'📋 Task Tracker'!H4:H203,"⏸ On Hold")</f>
        <v>0</v>
      </c>
      <c r="I36" s="58">
        <f>SUMIF('📋 Task Tracker'!D4:D203,"Plumbing",'📋 Task Tracker'!P4:P203)</f>
        <v>3700</v>
      </c>
    </row>
    <row r="37" spans="2:16" ht="20.05" customHeight="1" x14ac:dyDescent="0.3">
      <c r="B37" s="53" t="s">
        <v>25</v>
      </c>
      <c r="D37" s="54">
        <f>COUNTIF('📋 Task Tracker'!D4:D203,"Civil / Building")</f>
        <v>5</v>
      </c>
      <c r="E37" s="54">
        <f>COUNTIFS('📋 Task Tracker'!D4:D203,"Civil / Building",'📋 Task Tracker'!H4:H203,"✅ Completed")</f>
        <v>3</v>
      </c>
      <c r="F37" s="54">
        <f>COUNTIFS('📋 Task Tracker'!D4:D203,"Civil / Building",'📋 Task Tracker'!H4:H203,"⏳ Pending")</f>
        <v>1</v>
      </c>
      <c r="G37" s="54">
        <f>COUNTIFS('📋 Task Tracker'!D4:D203,"Civil / Building",'📋 Task Tracker'!H4:H203,"🔄 In Progress")</f>
        <v>1</v>
      </c>
      <c r="H37" s="54">
        <f>COUNTIFS('📋 Task Tracker'!D4:D203,"Civil / Building",'📋 Task Tracker'!H4:H203,"⏸ On Hold")</f>
        <v>0</v>
      </c>
      <c r="I37" s="55">
        <f>SUMIF('📋 Task Tracker'!D4:D203,"Civil / Building",'📋 Task Tracker'!P4:P203)</f>
        <v>13650</v>
      </c>
    </row>
    <row r="38" spans="2:16" ht="20.05" customHeight="1" x14ac:dyDescent="0.3">
      <c r="B38" s="56" t="s">
        <v>32</v>
      </c>
      <c r="D38" s="57">
        <f>COUNTIF('📋 Task Tracker'!D4:D203,"HVAC / AC")</f>
        <v>5</v>
      </c>
      <c r="E38" s="57">
        <f>COUNTIFS('📋 Task Tracker'!D4:D203,"HVAC / AC",'📋 Task Tracker'!H4:H203,"✅ Completed")</f>
        <v>3</v>
      </c>
      <c r="F38" s="57">
        <f>COUNTIFS('📋 Task Tracker'!D4:D203,"HVAC / AC",'📋 Task Tracker'!H4:H203,"⏳ Pending")</f>
        <v>1</v>
      </c>
      <c r="G38" s="57">
        <f>COUNTIFS('📋 Task Tracker'!D4:D203,"HVAC / AC",'📋 Task Tracker'!H4:H203,"🔄 In Progress")</f>
        <v>1</v>
      </c>
      <c r="H38" s="57">
        <f>COUNTIFS('📋 Task Tracker'!D4:D203,"HVAC / AC",'📋 Task Tracker'!H4:H203,"⏸ On Hold")</f>
        <v>0</v>
      </c>
      <c r="I38" s="58">
        <f>SUMIF('📋 Task Tracker'!D4:D203,"HVAC / AC",'📋 Task Tracker'!P4:P203)</f>
        <v>6150</v>
      </c>
    </row>
    <row r="39" spans="2:16" ht="20.05" customHeight="1" x14ac:dyDescent="0.3">
      <c r="B39" s="53" t="s">
        <v>38</v>
      </c>
      <c r="D39" s="54">
        <f>COUNTIF('📋 Task Tracker'!D4:D203,"Painting")</f>
        <v>4</v>
      </c>
      <c r="E39" s="54">
        <f>COUNTIFS('📋 Task Tracker'!D4:D203,"Painting",'📋 Task Tracker'!H4:H203,"✅ Completed")</f>
        <v>2</v>
      </c>
      <c r="F39" s="54">
        <f>COUNTIFS('📋 Task Tracker'!D4:D203,"Painting",'📋 Task Tracker'!H4:H203,"⏳ Pending")</f>
        <v>2</v>
      </c>
      <c r="G39" s="54">
        <f>COUNTIFS('📋 Task Tracker'!D4:D203,"Painting",'📋 Task Tracker'!H4:H203,"🔄 In Progress")</f>
        <v>0</v>
      </c>
      <c r="H39" s="54">
        <f>COUNTIFS('📋 Task Tracker'!D4:D203,"Painting",'📋 Task Tracker'!H4:H203,"⏸ On Hold")</f>
        <v>0</v>
      </c>
      <c r="I39" s="55">
        <f>SUMIF('📋 Task Tracker'!D4:D203,"Painting",'📋 Task Tracker'!P4:P203)</f>
        <v>9900</v>
      </c>
    </row>
    <row r="40" spans="2:16" ht="20.05" customHeight="1" x14ac:dyDescent="0.3">
      <c r="B40" s="56" t="s">
        <v>42</v>
      </c>
      <c r="D40" s="57">
        <f>COUNTIF('📋 Task Tracker'!D4:D203,"Carpentry")</f>
        <v>2</v>
      </c>
      <c r="E40" s="57">
        <f>COUNTIFS('📋 Task Tracker'!D4:D203,"Carpentry",'📋 Task Tracker'!H4:H203,"✅ Completed")</f>
        <v>2</v>
      </c>
      <c r="F40" s="57">
        <f>COUNTIFS('📋 Task Tracker'!D4:D203,"Carpentry",'📋 Task Tracker'!H4:H203,"⏳ Pending")</f>
        <v>0</v>
      </c>
      <c r="G40" s="57">
        <f>COUNTIFS('📋 Task Tracker'!D4:D203,"Carpentry",'📋 Task Tracker'!H4:H203,"🔄 In Progress")</f>
        <v>0</v>
      </c>
      <c r="H40" s="57">
        <f>COUNTIFS('📋 Task Tracker'!D4:D203,"Carpentry",'📋 Task Tracker'!H4:H203,"⏸ On Hold")</f>
        <v>0</v>
      </c>
      <c r="I40" s="58">
        <f>SUMIF('📋 Task Tracker'!D4:D203,"Carpentry",'📋 Task Tracker'!P4:P203)</f>
        <v>3450</v>
      </c>
    </row>
    <row r="41" spans="2:16" ht="20.05" customHeight="1" x14ac:dyDescent="0.3">
      <c r="B41" s="53" t="s">
        <v>45</v>
      </c>
      <c r="D41" s="54">
        <f>COUNTIF('📋 Task Tracker'!D4:D203,"Cleaning")</f>
        <v>0</v>
      </c>
      <c r="E41" s="54">
        <f>COUNTIFS('📋 Task Tracker'!D4:D203,"Cleaning",'📋 Task Tracker'!H4:H203,"✅ Completed")</f>
        <v>0</v>
      </c>
      <c r="F41" s="54">
        <f>COUNTIFS('📋 Task Tracker'!D4:D203,"Cleaning",'📋 Task Tracker'!H4:H203,"⏳ Pending")</f>
        <v>0</v>
      </c>
      <c r="G41" s="54">
        <f>COUNTIFS('📋 Task Tracker'!D4:D203,"Cleaning",'📋 Task Tracker'!H4:H203,"🔄 In Progress")</f>
        <v>0</v>
      </c>
      <c r="H41" s="54">
        <f>COUNTIFS('📋 Task Tracker'!D4:D203,"Cleaning",'📋 Task Tracker'!H4:H203,"⏸ On Hold")</f>
        <v>0</v>
      </c>
      <c r="I41" s="55">
        <f>SUMIF('📋 Task Tracker'!D4:D203,"Cleaning",'📋 Task Tracker'!P4:P203)</f>
        <v>0</v>
      </c>
    </row>
    <row r="42" spans="2:16" ht="20.05" customHeight="1" x14ac:dyDescent="0.3">
      <c r="B42" s="56" t="s">
        <v>48</v>
      </c>
      <c r="D42" s="57">
        <f>COUNTIF('📋 Task Tracker'!D4:D203,"IT / AV Equipment")</f>
        <v>1</v>
      </c>
      <c r="E42" s="57">
        <f>COUNTIFS('📋 Task Tracker'!D4:D203,"IT / AV Equipment",'📋 Task Tracker'!H4:H203,"✅ Completed")</f>
        <v>1</v>
      </c>
      <c r="F42" s="57">
        <f>COUNTIFS('📋 Task Tracker'!D4:D203,"IT / AV Equipment",'📋 Task Tracker'!H4:H203,"⏳ Pending")</f>
        <v>0</v>
      </c>
      <c r="G42" s="57">
        <f>COUNTIFS('📋 Task Tracker'!D4:D203,"IT / AV Equipment",'📋 Task Tracker'!H4:H203,"🔄 In Progress")</f>
        <v>0</v>
      </c>
      <c r="H42" s="57">
        <f>COUNTIFS('📋 Task Tracker'!D4:D203,"IT / AV Equipment",'📋 Task Tracker'!H4:H203,"⏸ On Hold")</f>
        <v>0</v>
      </c>
      <c r="I42" s="58">
        <f>SUMIF('📋 Task Tracker'!D4:D203,"IT / AV Equipment",'📋 Task Tracker'!P4:P203)</f>
        <v>5800</v>
      </c>
    </row>
    <row r="43" spans="2:16" ht="20.05" customHeight="1" x14ac:dyDescent="0.3">
      <c r="B43" s="53" t="s">
        <v>51</v>
      </c>
      <c r="D43" s="54">
        <f>COUNTIF('📋 Task Tracker'!D4:D203,"Safety &amp; Security")</f>
        <v>3</v>
      </c>
      <c r="E43" s="54">
        <f>COUNTIFS('📋 Task Tracker'!D4:D203,"Safety &amp; Security",'📋 Task Tracker'!H4:H203,"✅ Completed")</f>
        <v>2</v>
      </c>
      <c r="F43" s="54">
        <f>COUNTIFS('📋 Task Tracker'!D4:D203,"Safety &amp; Security",'📋 Task Tracker'!H4:H203,"⏳ Pending")</f>
        <v>0</v>
      </c>
      <c r="G43" s="54">
        <f>COUNTIFS('📋 Task Tracker'!D4:D203,"Safety &amp; Security",'📋 Task Tracker'!H4:H203,"🔄 In Progress")</f>
        <v>1</v>
      </c>
      <c r="H43" s="54">
        <f>COUNTIFS('📋 Task Tracker'!D4:D203,"Safety &amp; Security",'📋 Task Tracker'!H4:H203,"⏸ On Hold")</f>
        <v>0</v>
      </c>
      <c r="I43" s="55">
        <f>SUMIF('📋 Task Tracker'!D4:D203,"Safety &amp; Security",'📋 Task Tracker'!P4:P203)</f>
        <v>8700</v>
      </c>
    </row>
    <row r="44" spans="2:16" ht="20.05" customHeight="1" x14ac:dyDescent="0.3">
      <c r="B44" s="56" t="s">
        <v>54</v>
      </c>
      <c r="D44" s="57">
        <f>COUNTIF('📋 Task Tracker'!D4:D203,"Landscaping")</f>
        <v>0</v>
      </c>
      <c r="E44" s="57">
        <f>COUNTIFS('📋 Task Tracker'!D4:D203,"Landscaping",'📋 Task Tracker'!H4:H203,"✅ Completed")</f>
        <v>0</v>
      </c>
      <c r="F44" s="57">
        <f>COUNTIFS('📋 Task Tracker'!D4:D203,"Landscaping",'📋 Task Tracker'!H4:H203,"⏳ Pending")</f>
        <v>0</v>
      </c>
      <c r="G44" s="57">
        <f>COUNTIFS('📋 Task Tracker'!D4:D203,"Landscaping",'📋 Task Tracker'!H4:H203,"🔄 In Progress")</f>
        <v>0</v>
      </c>
      <c r="H44" s="57">
        <f>COUNTIFS('📋 Task Tracker'!D4:D203,"Landscaping",'📋 Task Tracker'!H4:H203,"⏸ On Hold")</f>
        <v>0</v>
      </c>
      <c r="I44" s="58">
        <f>SUMIF('📋 Task Tracker'!D4:D203,"Landscaping",'📋 Task Tracker'!P4:P203)</f>
        <v>0</v>
      </c>
    </row>
    <row r="45" spans="2:16" ht="20.05" customHeight="1" x14ac:dyDescent="0.3">
      <c r="B45" s="53" t="s">
        <v>56</v>
      </c>
      <c r="D45" s="54">
        <f>COUNTIF('📋 Task Tracker'!D4:D203,"Furniture")</f>
        <v>0</v>
      </c>
      <c r="E45" s="54">
        <f>COUNTIFS('📋 Task Tracker'!D4:D203,"Furniture",'📋 Task Tracker'!H4:H203,"✅ Completed")</f>
        <v>0</v>
      </c>
      <c r="F45" s="54">
        <f>COUNTIFS('📋 Task Tracker'!D4:D203,"Furniture",'📋 Task Tracker'!H4:H203,"⏳ Pending")</f>
        <v>0</v>
      </c>
      <c r="G45" s="54">
        <f>COUNTIFS('📋 Task Tracker'!D4:D203,"Furniture",'📋 Task Tracker'!H4:H203,"🔄 In Progress")</f>
        <v>0</v>
      </c>
      <c r="H45" s="54">
        <f>COUNTIFS('📋 Task Tracker'!D4:D203,"Furniture",'📋 Task Tracker'!H4:H203,"⏸ On Hold")</f>
        <v>0</v>
      </c>
      <c r="I45" s="55">
        <f>SUMIF('📋 Task Tracker'!D4:D203,"Furniture",'📋 Task Tracker'!P4:P203)</f>
        <v>0</v>
      </c>
    </row>
    <row r="46" spans="2:16" ht="20.05" customHeight="1" x14ac:dyDescent="0.3">
      <c r="B46" s="56" t="s">
        <v>58</v>
      </c>
      <c r="D46" s="57">
        <f>COUNTIF('📋 Task Tracker'!D4:D203,"Pest Control")</f>
        <v>2</v>
      </c>
      <c r="E46" s="57">
        <f>COUNTIFS('📋 Task Tracker'!D4:D203,"Pest Control",'📋 Task Tracker'!H4:H203,"✅ Completed")</f>
        <v>1</v>
      </c>
      <c r="F46" s="57">
        <f>COUNTIFS('📋 Task Tracker'!D4:D203,"Pest Control",'📋 Task Tracker'!H4:H203,"⏳ Pending")</f>
        <v>1</v>
      </c>
      <c r="G46" s="57">
        <f>COUNTIFS('📋 Task Tracker'!D4:D203,"Pest Control",'📋 Task Tracker'!H4:H203,"🔄 In Progress")</f>
        <v>0</v>
      </c>
      <c r="H46" s="57">
        <f>COUNTIFS('📋 Task Tracker'!D4:D203,"Pest Control",'📋 Task Tracker'!H4:H203,"⏸ On Hold")</f>
        <v>0</v>
      </c>
      <c r="I46" s="58">
        <f>SUMIF('📋 Task Tracker'!D4:D203,"Pest Control",'📋 Task Tracker'!P4:P203)</f>
        <v>1200</v>
      </c>
    </row>
    <row r="47" spans="2:16" ht="20.05" customHeight="1" x14ac:dyDescent="0.3">
      <c r="B47" s="53" t="s">
        <v>60</v>
      </c>
      <c r="D47" s="54">
        <f>COUNTIF('📋 Task Tracker'!D4:D203,"Other")</f>
        <v>0</v>
      </c>
      <c r="E47" s="54">
        <f>COUNTIFS('📋 Task Tracker'!D4:D203,"Other",'📋 Task Tracker'!H4:H203,"✅ Completed")</f>
        <v>0</v>
      </c>
      <c r="F47" s="54">
        <f>COUNTIFS('📋 Task Tracker'!D4:D203,"Other",'📋 Task Tracker'!H4:H203,"⏳ Pending")</f>
        <v>0</v>
      </c>
      <c r="G47" s="54">
        <f>COUNTIFS('📋 Task Tracker'!D4:D203,"Other",'📋 Task Tracker'!H4:H203,"🔄 In Progress")</f>
        <v>0</v>
      </c>
      <c r="H47" s="54">
        <f>COUNTIFS('📋 Task Tracker'!D4:D203,"Other",'📋 Task Tracker'!H4:H203,"⏸ On Hold")</f>
        <v>0</v>
      </c>
      <c r="I47" s="55">
        <f>SUMIF('📋 Task Tracker'!D4:D203,"Other",'📋 Task Tracker'!P4:P203)</f>
        <v>0</v>
      </c>
    </row>
    <row r="50" spans="2:16" ht="27.95" customHeight="1" x14ac:dyDescent="0.3">
      <c r="B50" s="113" t="s">
        <v>462</v>
      </c>
      <c r="C50" s="84"/>
      <c r="D50" s="84"/>
      <c r="E50" s="84"/>
      <c r="F50" s="84"/>
      <c r="G50" s="84"/>
      <c r="H50" s="84"/>
      <c r="I50" s="84"/>
      <c r="J50" s="84"/>
      <c r="K50" s="84"/>
      <c r="L50" s="84"/>
      <c r="M50" s="84"/>
      <c r="N50" s="84"/>
      <c r="O50" s="84"/>
      <c r="P50" s="84"/>
    </row>
    <row r="51" spans="2:16" ht="26.1" customHeight="1" x14ac:dyDescent="0.3">
      <c r="B51" s="94" t="str">
        <f ca="1">IF(COUNTIF('📋 Task Tracker'!O4:O203,"🚨 OVERDUE")&gt;0,"🚨 OVERDUE: "&amp;COUNTIF('📋 Task Tracker'!O4:O203,"🚨 OVERDUE")&amp;" task(s) exceeded their due date — immediate action required.","✅ No overdue tasks. All deadlines met.")</f>
        <v>✅ No overdue tasks. All deadlines met.</v>
      </c>
      <c r="C51" s="84"/>
      <c r="D51" s="84"/>
      <c r="E51" s="84"/>
      <c r="F51" s="84"/>
      <c r="G51" s="84"/>
      <c r="H51" s="84"/>
      <c r="I51" s="84"/>
      <c r="J51" s="84"/>
      <c r="K51" s="84"/>
      <c r="L51" s="84"/>
      <c r="M51" s="84"/>
      <c r="N51" s="84"/>
      <c r="O51" s="84"/>
      <c r="P51" s="84"/>
    </row>
    <row r="52" spans="2:16" ht="26.1" customHeight="1" x14ac:dyDescent="0.3">
      <c r="B52" s="94" t="str">
        <f>IF(COUNTIFS('📋 Task Tracker'!G4:G203,"🔴 Critical",'📋 Task Tracker'!H4:H203,"⏳ Pending")&gt;0,"⚠️ CRITICAL: "&amp;COUNTIFS('📋 Task Tracker'!G4:G203,"🔴 Critical",'📋 Task Tracker'!H4:H203,"⏳ Pending")&amp;" Critical-priority tasks still Pending — do not delay.","✅ No critical tasks pending.")</f>
        <v>⚠️ CRITICAL: 2 Critical-priority tasks still Pending — do not delay.</v>
      </c>
      <c r="C52" s="84"/>
      <c r="D52" s="84"/>
      <c r="E52" s="84"/>
      <c r="F52" s="84"/>
      <c r="G52" s="84"/>
      <c r="H52" s="84"/>
      <c r="I52" s="84"/>
      <c r="J52" s="84"/>
      <c r="K52" s="84"/>
      <c r="L52" s="84"/>
      <c r="M52" s="84"/>
      <c r="N52" s="84"/>
      <c r="O52" s="84"/>
      <c r="P52" s="84"/>
    </row>
    <row r="53" spans="2:16" ht="26.1" customHeight="1" x14ac:dyDescent="0.3">
      <c r="B53" s="92"/>
      <c r="C53" s="84"/>
      <c r="D53" s="84"/>
      <c r="E53" s="84"/>
      <c r="F53" s="84"/>
      <c r="G53" s="84"/>
      <c r="H53" s="84"/>
      <c r="I53" s="84"/>
      <c r="J53" s="84"/>
      <c r="K53" s="84"/>
      <c r="L53" s="84"/>
      <c r="M53" s="84"/>
      <c r="N53" s="84"/>
      <c r="O53" s="84"/>
      <c r="P53" s="84"/>
    </row>
    <row r="54" spans="2:16" ht="26.1" customHeight="1" x14ac:dyDescent="0.3">
      <c r="B54" s="92"/>
      <c r="C54" s="84"/>
      <c r="D54" s="84"/>
      <c r="E54" s="84"/>
      <c r="F54" s="84"/>
      <c r="G54" s="84"/>
      <c r="H54" s="84"/>
      <c r="I54" s="84"/>
      <c r="J54" s="84"/>
      <c r="K54" s="84"/>
      <c r="L54" s="84"/>
      <c r="M54" s="84"/>
      <c r="N54" s="84"/>
      <c r="O54" s="84"/>
      <c r="P54" s="84"/>
    </row>
    <row r="55" spans="2:16" ht="26.1" customHeight="1" x14ac:dyDescent="0.3">
      <c r="B55" s="102" t="str">
        <f>IF(COUNTIF('📋 Task Tracker'!H4:H203,"🔄 In Progress")&gt;15,"📊 WORKLOAD: "&amp;COUNTIF('📋 Task Tracker'!H4:H203,"🔄 In Progress")&amp;" tasks In Progress. Team capacity may be strained.","✅ Workload is manageable.")</f>
        <v>✅ Workload is manageable.</v>
      </c>
      <c r="C55" s="84"/>
      <c r="D55" s="84"/>
      <c r="E55" s="84"/>
      <c r="F55" s="84"/>
      <c r="G55" s="84"/>
      <c r="H55" s="84"/>
      <c r="I55" s="84"/>
      <c r="J55" s="84"/>
      <c r="K55" s="84"/>
      <c r="L55" s="84"/>
      <c r="M55" s="84"/>
      <c r="N55" s="84"/>
      <c r="O55" s="84"/>
      <c r="P55" s="84"/>
    </row>
    <row r="56" spans="2:16" ht="26.1" customHeight="1" x14ac:dyDescent="0.3">
      <c r="B56" s="89" t="str">
        <f>IF(COUNTIF('📋 Task Tracker'!H4:H203,"⏸ On Hold")&gt;=5,"⏸ "&amp;COUNTIF('📋 Task Tracker'!H4:H203,"⏸ On Hold")&amp;" tasks On Hold. Review blockers and resume or close.","✅ On-Hold count is acceptable.")</f>
        <v>✅ On-Hold count is acceptable.</v>
      </c>
      <c r="C56" s="84"/>
      <c r="D56" s="84"/>
      <c r="E56" s="84"/>
      <c r="F56" s="84"/>
      <c r="G56" s="84"/>
      <c r="H56" s="84"/>
      <c r="I56" s="84"/>
      <c r="J56" s="84"/>
      <c r="K56" s="84"/>
      <c r="L56" s="84"/>
      <c r="M56" s="84"/>
      <c r="N56" s="84"/>
      <c r="O56" s="84"/>
      <c r="P56" s="84"/>
    </row>
  </sheetData>
  <mergeCells count="73">
    <mergeCell ref="B2:P2"/>
    <mergeCell ref="B9:H9"/>
    <mergeCell ref="J5:K5"/>
    <mergeCell ref="G27:H27"/>
    <mergeCell ref="J12:M12"/>
    <mergeCell ref="B6:C7"/>
    <mergeCell ref="L5:M5"/>
    <mergeCell ref="B4:P4"/>
    <mergeCell ref="J27:M27"/>
    <mergeCell ref="B1:P1"/>
    <mergeCell ref="B29:D29"/>
    <mergeCell ref="B17:P17"/>
    <mergeCell ref="B53:P53"/>
    <mergeCell ref="B28:D28"/>
    <mergeCell ref="N29:P29"/>
    <mergeCell ref="E29:F29"/>
    <mergeCell ref="F13:H13"/>
    <mergeCell ref="N10:P10"/>
    <mergeCell ref="L6:M7"/>
    <mergeCell ref="N28:P28"/>
    <mergeCell ref="F5:G5"/>
    <mergeCell ref="N6:O7"/>
    <mergeCell ref="N13:P13"/>
    <mergeCell ref="E28:F28"/>
    <mergeCell ref="G28:H28"/>
    <mergeCell ref="B30:D30"/>
    <mergeCell ref="B25:H25"/>
    <mergeCell ref="N5:O5"/>
    <mergeCell ref="J29:M29"/>
    <mergeCell ref="N30:P30"/>
    <mergeCell ref="J10:M10"/>
    <mergeCell ref="J28:M28"/>
    <mergeCell ref="B12:E12"/>
    <mergeCell ref="J9:P9"/>
    <mergeCell ref="D6:E7"/>
    <mergeCell ref="B11:E11"/>
    <mergeCell ref="F6:G7"/>
    <mergeCell ref="F11:H11"/>
    <mergeCell ref="N11:P11"/>
    <mergeCell ref="G29:H29"/>
    <mergeCell ref="F10:H10"/>
    <mergeCell ref="B33:P33"/>
    <mergeCell ref="B55:P55"/>
    <mergeCell ref="J13:M13"/>
    <mergeCell ref="E30:F30"/>
    <mergeCell ref="B51:P51"/>
    <mergeCell ref="F14:H14"/>
    <mergeCell ref="G30:H30"/>
    <mergeCell ref="B26:D26"/>
    <mergeCell ref="E27:F27"/>
    <mergeCell ref="N27:P27"/>
    <mergeCell ref="J30:M30"/>
    <mergeCell ref="B50:P50"/>
    <mergeCell ref="E26:F26"/>
    <mergeCell ref="N26:P26"/>
    <mergeCell ref="G26:H26"/>
    <mergeCell ref="B14:E14"/>
    <mergeCell ref="B56:P56"/>
    <mergeCell ref="H5:I5"/>
    <mergeCell ref="F12:H12"/>
    <mergeCell ref="B10:E10"/>
    <mergeCell ref="N12:P12"/>
    <mergeCell ref="B52:P52"/>
    <mergeCell ref="J25:P25"/>
    <mergeCell ref="B54:P54"/>
    <mergeCell ref="H6:I7"/>
    <mergeCell ref="J26:M26"/>
    <mergeCell ref="B5:C5"/>
    <mergeCell ref="J6:K7"/>
    <mergeCell ref="B13:E13"/>
    <mergeCell ref="D5:E5"/>
    <mergeCell ref="J11:M11"/>
    <mergeCell ref="B27:D27"/>
  </mergeCells>
  <conditionalFormatting sqref="I35:I47">
    <cfRule type="dataBar" priority="1">
      <dataBar>
        <cfvo type="min"/>
        <cfvo type="max"/>
        <color rgb="FF5B21B6"/>
      </dataBar>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4"/>
  <sheetViews>
    <sheetView zoomScale="90" workbookViewId="0"/>
  </sheetViews>
  <sheetFormatPr defaultRowHeight="14.4" x14ac:dyDescent="0.3"/>
  <cols>
    <col min="1" max="1" width="5" customWidth="1"/>
    <col min="2" max="2" width="28" customWidth="1"/>
    <col min="3" max="4" width="22" customWidth="1"/>
    <col min="5" max="5" width="17" customWidth="1"/>
    <col min="6" max="6" width="28" customWidth="1"/>
    <col min="7" max="7" width="16" customWidth="1"/>
    <col min="8" max="8" width="12" customWidth="1"/>
    <col min="9" max="9" width="28" customWidth="1"/>
  </cols>
  <sheetData>
    <row r="1" spans="1:9" ht="38.049999999999997" customHeight="1" x14ac:dyDescent="0.3">
      <c r="A1" s="136" t="s">
        <v>463</v>
      </c>
      <c r="B1" s="84"/>
      <c r="C1" s="84"/>
      <c r="D1" s="84"/>
      <c r="E1" s="84"/>
      <c r="F1" s="84"/>
      <c r="G1" s="84"/>
      <c r="H1" s="84"/>
      <c r="I1" s="84"/>
    </row>
    <row r="2" spans="1:9" ht="24.05" customHeight="1" x14ac:dyDescent="0.3">
      <c r="A2" s="2" t="s">
        <v>68</v>
      </c>
      <c r="B2" s="2" t="s">
        <v>464</v>
      </c>
      <c r="C2" s="2" t="s">
        <v>465</v>
      </c>
      <c r="D2" s="2" t="s">
        <v>466</v>
      </c>
      <c r="E2" s="2" t="s">
        <v>467</v>
      </c>
      <c r="F2" s="2" t="s">
        <v>468</v>
      </c>
      <c r="G2" s="2" t="s">
        <v>469</v>
      </c>
      <c r="H2" s="2" t="s">
        <v>470</v>
      </c>
      <c r="I2" s="2" t="s">
        <v>81</v>
      </c>
    </row>
    <row r="3" spans="1:9" ht="22.05" customHeight="1" x14ac:dyDescent="0.3">
      <c r="A3" s="54">
        <v>1</v>
      </c>
      <c r="B3" s="53" t="s">
        <v>89</v>
      </c>
      <c r="C3" s="59" t="s">
        <v>471</v>
      </c>
      <c r="D3" s="59" t="s">
        <v>472</v>
      </c>
      <c r="E3" s="59" t="s">
        <v>473</v>
      </c>
      <c r="F3" s="59" t="s">
        <v>474</v>
      </c>
      <c r="G3" s="54" t="s">
        <v>475</v>
      </c>
      <c r="H3" s="54" t="s">
        <v>476</v>
      </c>
      <c r="I3" s="59" t="s">
        <v>477</v>
      </c>
    </row>
    <row r="4" spans="1:9" ht="22.05" customHeight="1" x14ac:dyDescent="0.3">
      <c r="A4" s="57">
        <v>2</v>
      </c>
      <c r="B4" s="56" t="s">
        <v>97</v>
      </c>
      <c r="C4" s="6" t="s">
        <v>478</v>
      </c>
      <c r="D4" s="6" t="s">
        <v>479</v>
      </c>
      <c r="E4" s="6" t="s">
        <v>480</v>
      </c>
      <c r="F4" s="6" t="s">
        <v>481</v>
      </c>
      <c r="G4" s="57" t="s">
        <v>482</v>
      </c>
      <c r="H4" s="57" t="s">
        <v>483</v>
      </c>
      <c r="I4" s="6" t="s">
        <v>484</v>
      </c>
    </row>
    <row r="5" spans="1:9" ht="22.05" customHeight="1" x14ac:dyDescent="0.3">
      <c r="A5" s="54">
        <v>3</v>
      </c>
      <c r="B5" s="53" t="s">
        <v>113</v>
      </c>
      <c r="C5" s="59" t="s">
        <v>11</v>
      </c>
      <c r="D5" s="59" t="s">
        <v>485</v>
      </c>
      <c r="E5" s="59" t="s">
        <v>486</v>
      </c>
      <c r="F5" s="59" t="s">
        <v>487</v>
      </c>
      <c r="G5" s="54" t="s">
        <v>475</v>
      </c>
      <c r="H5" s="54" t="s">
        <v>476</v>
      </c>
      <c r="I5" s="59" t="s">
        <v>488</v>
      </c>
    </row>
    <row r="6" spans="1:9" ht="22.05" customHeight="1" x14ac:dyDescent="0.3">
      <c r="A6" s="57">
        <v>4</v>
      </c>
      <c r="B6" s="56" t="s">
        <v>105</v>
      </c>
      <c r="C6" s="6" t="s">
        <v>38</v>
      </c>
      <c r="D6" s="6" t="s">
        <v>489</v>
      </c>
      <c r="E6" s="6" t="s">
        <v>490</v>
      </c>
      <c r="F6" s="6" t="s">
        <v>491</v>
      </c>
      <c r="G6" s="57" t="s">
        <v>492</v>
      </c>
      <c r="H6" s="57" t="s">
        <v>493</v>
      </c>
      <c r="I6" s="6" t="s">
        <v>494</v>
      </c>
    </row>
    <row r="7" spans="1:9" ht="22.05" customHeight="1" x14ac:dyDescent="0.3">
      <c r="A7" s="54">
        <v>5</v>
      </c>
      <c r="B7" s="53" t="s">
        <v>125</v>
      </c>
      <c r="C7" s="59" t="s">
        <v>495</v>
      </c>
      <c r="D7" s="59" t="s">
        <v>496</v>
      </c>
      <c r="E7" s="59" t="s">
        <v>497</v>
      </c>
      <c r="F7" s="59" t="s">
        <v>498</v>
      </c>
      <c r="G7" s="54" t="s">
        <v>499</v>
      </c>
      <c r="H7" s="54" t="s">
        <v>483</v>
      </c>
      <c r="I7" s="59" t="s">
        <v>500</v>
      </c>
    </row>
    <row r="8" spans="1:9" ht="22.05" customHeight="1" x14ac:dyDescent="0.3">
      <c r="A8" s="57">
        <v>6</v>
      </c>
      <c r="B8" s="56" t="s">
        <v>130</v>
      </c>
      <c r="C8" s="6" t="s">
        <v>471</v>
      </c>
      <c r="D8" s="6" t="s">
        <v>501</v>
      </c>
      <c r="E8" s="6" t="s">
        <v>502</v>
      </c>
      <c r="F8" s="6" t="s">
        <v>503</v>
      </c>
      <c r="G8" s="57" t="s">
        <v>504</v>
      </c>
      <c r="H8" s="57" t="s">
        <v>476</v>
      </c>
      <c r="I8" s="6" t="s">
        <v>505</v>
      </c>
    </row>
    <row r="9" spans="1:9" ht="22.05" customHeight="1" x14ac:dyDescent="0.3">
      <c r="A9" s="54">
        <v>7</v>
      </c>
      <c r="B9" s="53" t="s">
        <v>137</v>
      </c>
      <c r="C9" s="59" t="s">
        <v>51</v>
      </c>
      <c r="D9" s="59" t="s">
        <v>506</v>
      </c>
      <c r="E9" s="59" t="s">
        <v>507</v>
      </c>
      <c r="F9" s="59" t="s">
        <v>508</v>
      </c>
      <c r="G9" s="54" t="s">
        <v>509</v>
      </c>
      <c r="H9" s="54" t="s">
        <v>476</v>
      </c>
      <c r="I9" s="59" t="s">
        <v>510</v>
      </c>
    </row>
    <row r="10" spans="1:9" ht="22.05" customHeight="1" x14ac:dyDescent="0.3">
      <c r="A10" s="57">
        <v>8</v>
      </c>
      <c r="B10" s="56" t="s">
        <v>143</v>
      </c>
      <c r="C10" s="6" t="s">
        <v>58</v>
      </c>
      <c r="D10" s="6" t="s">
        <v>511</v>
      </c>
      <c r="E10" s="6" t="s">
        <v>512</v>
      </c>
      <c r="F10" s="6" t="s">
        <v>513</v>
      </c>
      <c r="G10" s="57" t="s">
        <v>514</v>
      </c>
      <c r="H10" s="57" t="s">
        <v>493</v>
      </c>
      <c r="I10" s="6" t="s">
        <v>144</v>
      </c>
    </row>
    <row r="11" spans="1:9" ht="22.05" customHeight="1" x14ac:dyDescent="0.3">
      <c r="A11" s="54">
        <v>9</v>
      </c>
      <c r="B11" s="53" t="s">
        <v>515</v>
      </c>
      <c r="C11" s="59" t="s">
        <v>516</v>
      </c>
      <c r="D11" s="59" t="s">
        <v>14</v>
      </c>
      <c r="E11" s="59" t="s">
        <v>517</v>
      </c>
      <c r="F11" s="59" t="s">
        <v>518</v>
      </c>
      <c r="G11" s="54" t="s">
        <v>519</v>
      </c>
      <c r="H11" s="54" t="s">
        <v>483</v>
      </c>
      <c r="I11" s="59" t="s">
        <v>520</v>
      </c>
    </row>
    <row r="12" spans="1:9" ht="22.05" customHeight="1" x14ac:dyDescent="0.3">
      <c r="A12" s="57">
        <v>10</v>
      </c>
      <c r="B12" s="56" t="s">
        <v>165</v>
      </c>
      <c r="C12" s="6" t="s">
        <v>18</v>
      </c>
      <c r="D12" s="6" t="s">
        <v>521</v>
      </c>
      <c r="E12" s="6" t="s">
        <v>522</v>
      </c>
      <c r="F12" s="6" t="s">
        <v>523</v>
      </c>
      <c r="G12" s="57" t="s">
        <v>482</v>
      </c>
      <c r="H12" s="57" t="s">
        <v>476</v>
      </c>
      <c r="I12" s="6" t="s">
        <v>524</v>
      </c>
    </row>
    <row r="13" spans="1:9" ht="22.05" customHeight="1" x14ac:dyDescent="0.3">
      <c r="A13" s="54">
        <v>11</v>
      </c>
      <c r="B13" s="53" t="s">
        <v>183</v>
      </c>
      <c r="C13" s="59" t="s">
        <v>42</v>
      </c>
      <c r="D13" s="59" t="s">
        <v>525</v>
      </c>
      <c r="E13" s="59" t="s">
        <v>526</v>
      </c>
      <c r="F13" s="59" t="s">
        <v>527</v>
      </c>
      <c r="G13" s="54" t="s">
        <v>475</v>
      </c>
      <c r="H13" s="54" t="s">
        <v>493</v>
      </c>
      <c r="I13" s="59" t="s">
        <v>528</v>
      </c>
    </row>
    <row r="14" spans="1:9" ht="22.05" customHeight="1" x14ac:dyDescent="0.3">
      <c r="A14" s="57">
        <v>12</v>
      </c>
      <c r="B14" s="56" t="s">
        <v>172</v>
      </c>
      <c r="C14" s="6" t="s">
        <v>51</v>
      </c>
      <c r="D14" s="6" t="s">
        <v>529</v>
      </c>
      <c r="E14" s="6" t="s">
        <v>530</v>
      </c>
      <c r="F14" s="6" t="s">
        <v>531</v>
      </c>
      <c r="G14" s="57" t="s">
        <v>532</v>
      </c>
      <c r="H14" s="57" t="s">
        <v>483</v>
      </c>
      <c r="I14" s="6" t="s">
        <v>533</v>
      </c>
    </row>
    <row r="15" spans="1:9" ht="22.05" customHeight="1" x14ac:dyDescent="0.3">
      <c r="A15" s="60">
        <v>13</v>
      </c>
      <c r="B15" s="61"/>
      <c r="C15" s="61"/>
      <c r="D15" s="61"/>
      <c r="E15" s="61"/>
      <c r="F15" s="61"/>
      <c r="G15" s="61"/>
      <c r="H15" s="61"/>
      <c r="I15" s="61"/>
    </row>
    <row r="16" spans="1:9" ht="22.05" customHeight="1" x14ac:dyDescent="0.3">
      <c r="A16" s="60">
        <v>14</v>
      </c>
      <c r="B16" s="62"/>
      <c r="C16" s="62"/>
      <c r="D16" s="62"/>
      <c r="E16" s="62"/>
      <c r="F16" s="62"/>
      <c r="G16" s="62"/>
      <c r="H16" s="62"/>
      <c r="I16" s="62"/>
    </row>
    <row r="17" spans="1:9" ht="22.05" customHeight="1" x14ac:dyDescent="0.3">
      <c r="A17" s="60">
        <v>15</v>
      </c>
      <c r="B17" s="61"/>
      <c r="C17" s="61"/>
      <c r="D17" s="61"/>
      <c r="E17" s="61"/>
      <c r="F17" s="61"/>
      <c r="G17" s="61"/>
      <c r="H17" s="61"/>
      <c r="I17" s="61"/>
    </row>
    <row r="18" spans="1:9" ht="22.05" customHeight="1" x14ac:dyDescent="0.3">
      <c r="A18" s="60">
        <v>16</v>
      </c>
      <c r="B18" s="62"/>
      <c r="C18" s="62"/>
      <c r="D18" s="62"/>
      <c r="E18" s="62"/>
      <c r="F18" s="62"/>
      <c r="G18" s="62"/>
      <c r="H18" s="62"/>
      <c r="I18" s="62"/>
    </row>
    <row r="19" spans="1:9" ht="22.05" customHeight="1" x14ac:dyDescent="0.3">
      <c r="A19" s="60">
        <v>17</v>
      </c>
      <c r="B19" s="61"/>
      <c r="C19" s="61"/>
      <c r="D19" s="61"/>
      <c r="E19" s="61"/>
      <c r="F19" s="61"/>
      <c r="G19" s="61"/>
      <c r="H19" s="61"/>
      <c r="I19" s="61"/>
    </row>
    <row r="20" spans="1:9" ht="22.05" customHeight="1" x14ac:dyDescent="0.3">
      <c r="A20" s="60">
        <v>18</v>
      </c>
      <c r="B20" s="62"/>
      <c r="C20" s="62"/>
      <c r="D20" s="62"/>
      <c r="E20" s="62"/>
      <c r="F20" s="62"/>
      <c r="G20" s="62"/>
      <c r="H20" s="62"/>
      <c r="I20" s="62"/>
    </row>
    <row r="21" spans="1:9" ht="22.05" customHeight="1" x14ac:dyDescent="0.3">
      <c r="A21" s="60">
        <v>19</v>
      </c>
      <c r="B21" s="61"/>
      <c r="C21" s="61"/>
      <c r="D21" s="61"/>
      <c r="E21" s="61"/>
      <c r="F21" s="61"/>
      <c r="G21" s="61"/>
      <c r="H21" s="61"/>
      <c r="I21" s="61"/>
    </row>
    <row r="22" spans="1:9" ht="22.05" customHeight="1" x14ac:dyDescent="0.3">
      <c r="A22" s="60">
        <v>20</v>
      </c>
      <c r="B22" s="62"/>
      <c r="C22" s="62"/>
      <c r="D22" s="62"/>
      <c r="E22" s="62"/>
      <c r="F22" s="62"/>
      <c r="G22" s="62"/>
      <c r="H22" s="62"/>
      <c r="I22" s="62"/>
    </row>
    <row r="23" spans="1:9" ht="22.05" customHeight="1" x14ac:dyDescent="0.3">
      <c r="A23" s="60">
        <v>21</v>
      </c>
      <c r="B23" s="61"/>
      <c r="C23" s="61"/>
      <c r="D23" s="61"/>
      <c r="E23" s="61"/>
      <c r="F23" s="61"/>
      <c r="G23" s="61"/>
      <c r="H23" s="61"/>
      <c r="I23" s="61"/>
    </row>
    <row r="24" spans="1:9" ht="22.05" customHeight="1" x14ac:dyDescent="0.3">
      <c r="A24" s="60">
        <v>22</v>
      </c>
      <c r="B24" s="62"/>
      <c r="C24" s="62"/>
      <c r="D24" s="62"/>
      <c r="E24" s="62"/>
      <c r="F24" s="62"/>
      <c r="G24" s="62"/>
      <c r="H24" s="62"/>
      <c r="I24" s="62"/>
    </row>
    <row r="25" spans="1:9" ht="22.05" customHeight="1" x14ac:dyDescent="0.3">
      <c r="A25" s="60">
        <v>23</v>
      </c>
      <c r="B25" s="61"/>
      <c r="C25" s="61"/>
      <c r="D25" s="61"/>
      <c r="E25" s="61"/>
      <c r="F25" s="61"/>
      <c r="G25" s="61"/>
      <c r="H25" s="61"/>
      <c r="I25" s="61"/>
    </row>
    <row r="26" spans="1:9" ht="22.05" customHeight="1" x14ac:dyDescent="0.3">
      <c r="A26" s="60">
        <v>24</v>
      </c>
      <c r="B26" s="62"/>
      <c r="C26" s="62"/>
      <c r="D26" s="62"/>
      <c r="E26" s="62"/>
      <c r="F26" s="62"/>
      <c r="G26" s="62"/>
      <c r="H26" s="62"/>
      <c r="I26" s="62"/>
    </row>
    <row r="27" spans="1:9" ht="22.05" customHeight="1" x14ac:dyDescent="0.3">
      <c r="A27" s="60">
        <v>25</v>
      </c>
      <c r="B27" s="61"/>
      <c r="C27" s="61"/>
      <c r="D27" s="61"/>
      <c r="E27" s="61"/>
      <c r="F27" s="61"/>
      <c r="G27" s="61"/>
      <c r="H27" s="61"/>
      <c r="I27" s="61"/>
    </row>
    <row r="28" spans="1:9" ht="22.05" customHeight="1" x14ac:dyDescent="0.3">
      <c r="A28" s="60">
        <v>26</v>
      </c>
      <c r="B28" s="62"/>
      <c r="C28" s="62"/>
      <c r="D28" s="62"/>
      <c r="E28" s="62"/>
      <c r="F28" s="62"/>
      <c r="G28" s="62"/>
      <c r="H28" s="62"/>
      <c r="I28" s="62"/>
    </row>
    <row r="29" spans="1:9" ht="22.05" customHeight="1" x14ac:dyDescent="0.3">
      <c r="A29" s="60">
        <v>27</v>
      </c>
      <c r="B29" s="61"/>
      <c r="C29" s="61"/>
      <c r="D29" s="61"/>
      <c r="E29" s="61"/>
      <c r="F29" s="61"/>
      <c r="G29" s="61"/>
      <c r="H29" s="61"/>
      <c r="I29" s="61"/>
    </row>
    <row r="30" spans="1:9" ht="22.05" customHeight="1" x14ac:dyDescent="0.3">
      <c r="A30" s="60">
        <v>28</v>
      </c>
      <c r="B30" s="62"/>
      <c r="C30" s="62"/>
      <c r="D30" s="62"/>
      <c r="E30" s="62"/>
      <c r="F30" s="62"/>
      <c r="G30" s="62"/>
      <c r="H30" s="62"/>
      <c r="I30" s="62"/>
    </row>
    <row r="31" spans="1:9" ht="22.05" customHeight="1" x14ac:dyDescent="0.3">
      <c r="A31" s="60">
        <v>29</v>
      </c>
      <c r="B31" s="61"/>
      <c r="C31" s="61"/>
      <c r="D31" s="61"/>
      <c r="E31" s="61"/>
      <c r="F31" s="61"/>
      <c r="G31" s="61"/>
      <c r="H31" s="61"/>
      <c r="I31" s="61"/>
    </row>
    <row r="32" spans="1:9" ht="22.05" customHeight="1" x14ac:dyDescent="0.3">
      <c r="A32" s="60">
        <v>30</v>
      </c>
      <c r="B32" s="62"/>
      <c r="C32" s="62"/>
      <c r="D32" s="62"/>
      <c r="E32" s="62"/>
      <c r="F32" s="62"/>
      <c r="G32" s="62"/>
      <c r="H32" s="62"/>
      <c r="I32" s="62"/>
    </row>
    <row r="33" spans="1:9" ht="22.05" customHeight="1" x14ac:dyDescent="0.3">
      <c r="A33" s="60">
        <v>31</v>
      </c>
      <c r="B33" s="61"/>
      <c r="C33" s="61"/>
      <c r="D33" s="61"/>
      <c r="E33" s="61"/>
      <c r="F33" s="61"/>
      <c r="G33" s="61"/>
      <c r="H33" s="61"/>
      <c r="I33" s="61"/>
    </row>
    <row r="34" spans="1:9" ht="22.05" customHeight="1" x14ac:dyDescent="0.3">
      <c r="A34" s="60">
        <v>32</v>
      </c>
      <c r="B34" s="62"/>
      <c r="C34" s="62"/>
      <c r="D34" s="62"/>
      <c r="E34" s="62"/>
      <c r="F34" s="62"/>
      <c r="G34" s="62"/>
      <c r="H34" s="62"/>
      <c r="I34" s="62"/>
    </row>
  </sheetData>
  <mergeCells count="1">
    <mergeCell ref="A1:I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23"/>
  <sheetViews>
    <sheetView zoomScale="80" workbookViewId="0">
      <selection activeCell="D4" sqref="D4"/>
    </sheetView>
  </sheetViews>
  <sheetFormatPr defaultRowHeight="14.4" x14ac:dyDescent="0.3"/>
  <cols>
    <col min="1" max="1" width="6" customWidth="1"/>
    <col min="2" max="2" width="34" customWidth="1"/>
    <col min="3" max="3" width="20" customWidth="1"/>
    <col min="4" max="15" width="9" customWidth="1"/>
  </cols>
  <sheetData>
    <row r="1" spans="1:16" ht="38.049999999999997" customHeight="1" x14ac:dyDescent="0.3">
      <c r="A1" s="136" t="s">
        <v>534</v>
      </c>
      <c r="B1" s="84"/>
      <c r="C1" s="84"/>
      <c r="D1" s="84"/>
      <c r="E1" s="84"/>
      <c r="F1" s="84"/>
      <c r="G1" s="84"/>
      <c r="H1" s="84"/>
      <c r="I1" s="84"/>
      <c r="J1" s="84"/>
      <c r="K1" s="84"/>
      <c r="L1" s="84"/>
      <c r="M1" s="84"/>
      <c r="N1" s="84"/>
      <c r="O1" s="84"/>
      <c r="P1" s="84"/>
    </row>
    <row r="2" spans="1:16" ht="20.05" customHeight="1" x14ac:dyDescent="0.3">
      <c r="D2" s="141" t="s">
        <v>535</v>
      </c>
      <c r="E2" s="84"/>
      <c r="F2" s="84"/>
      <c r="G2" s="84"/>
      <c r="H2" s="140" t="s">
        <v>536</v>
      </c>
      <c r="I2" s="84"/>
      <c r="J2" s="84"/>
      <c r="K2" s="137" t="s">
        <v>537</v>
      </c>
      <c r="L2" s="84"/>
      <c r="M2" s="84"/>
      <c r="N2" s="138" t="s">
        <v>538</v>
      </c>
      <c r="O2" s="84"/>
      <c r="P2" s="84"/>
    </row>
    <row r="3" spans="1:16" ht="24.05" customHeight="1" x14ac:dyDescent="0.3">
      <c r="A3" s="63" t="s">
        <v>68</v>
      </c>
      <c r="B3" s="64" t="s">
        <v>539</v>
      </c>
      <c r="C3" s="64" t="s">
        <v>540</v>
      </c>
      <c r="D3" s="65" t="s">
        <v>541</v>
      </c>
      <c r="E3" s="65" t="s">
        <v>542</v>
      </c>
      <c r="F3" s="65" t="s">
        <v>543</v>
      </c>
      <c r="G3" s="65" t="s">
        <v>544</v>
      </c>
      <c r="H3" s="66" t="s">
        <v>545</v>
      </c>
      <c r="I3" s="66" t="s">
        <v>546</v>
      </c>
      <c r="J3" s="66" t="s">
        <v>547</v>
      </c>
      <c r="K3" s="67" t="s">
        <v>548</v>
      </c>
      <c r="L3" s="67" t="s">
        <v>549</v>
      </c>
      <c r="M3" s="67" t="s">
        <v>550</v>
      </c>
      <c r="N3" s="68" t="s">
        <v>551</v>
      </c>
      <c r="O3" s="68" t="s">
        <v>552</v>
      </c>
    </row>
    <row r="4" spans="1:16" ht="22.05" customHeight="1" x14ac:dyDescent="0.3">
      <c r="A4" s="69">
        <v>1</v>
      </c>
      <c r="B4" s="70" t="s">
        <v>553</v>
      </c>
      <c r="C4" s="71" t="s">
        <v>14</v>
      </c>
      <c r="D4" s="72" t="s">
        <v>554</v>
      </c>
      <c r="E4" s="72" t="s">
        <v>554</v>
      </c>
      <c r="F4" s="72" t="s">
        <v>554</v>
      </c>
      <c r="G4" s="72" t="s">
        <v>554</v>
      </c>
      <c r="H4" s="72" t="s">
        <v>554</v>
      </c>
      <c r="I4" s="72" t="s">
        <v>554</v>
      </c>
      <c r="J4" s="72" t="s">
        <v>554</v>
      </c>
      <c r="K4" s="72" t="s">
        <v>554</v>
      </c>
      <c r="L4" s="72" t="s">
        <v>554</v>
      </c>
      <c r="M4" s="72" t="s">
        <v>554</v>
      </c>
      <c r="N4" s="72" t="s">
        <v>554</v>
      </c>
      <c r="O4" s="72" t="s">
        <v>554</v>
      </c>
    </row>
    <row r="5" spans="1:16" ht="22.05" customHeight="1" x14ac:dyDescent="0.3">
      <c r="A5" s="69">
        <v>2</v>
      </c>
      <c r="B5" s="7" t="s">
        <v>555</v>
      </c>
      <c r="C5" s="73" t="s">
        <v>21</v>
      </c>
      <c r="D5" s="72" t="s">
        <v>554</v>
      </c>
      <c r="E5" s="72" t="s">
        <v>554</v>
      </c>
      <c r="F5" s="72" t="s">
        <v>554</v>
      </c>
      <c r="G5" s="72" t="s">
        <v>554</v>
      </c>
      <c r="H5" s="72" t="s">
        <v>554</v>
      </c>
      <c r="I5" s="72" t="s">
        <v>554</v>
      </c>
      <c r="J5" s="72" t="s">
        <v>554</v>
      </c>
      <c r="K5" s="72" t="s">
        <v>554</v>
      </c>
      <c r="L5" s="72" t="s">
        <v>554</v>
      </c>
      <c r="M5" s="72" t="s">
        <v>554</v>
      </c>
      <c r="N5" s="72" t="s">
        <v>554</v>
      </c>
      <c r="O5" s="72" t="s">
        <v>554</v>
      </c>
    </row>
    <row r="6" spans="1:16" ht="22.05" customHeight="1" x14ac:dyDescent="0.3">
      <c r="A6" s="69">
        <v>3</v>
      </c>
      <c r="B6" s="70" t="s">
        <v>556</v>
      </c>
      <c r="C6" s="71" t="s">
        <v>44</v>
      </c>
      <c r="D6" s="72" t="s">
        <v>554</v>
      </c>
      <c r="E6" s="74"/>
      <c r="F6" s="74"/>
      <c r="G6" s="72" t="s">
        <v>554</v>
      </c>
      <c r="H6" s="74"/>
      <c r="I6" s="74"/>
      <c r="J6" s="72" t="s">
        <v>554</v>
      </c>
      <c r="K6" s="74"/>
      <c r="L6" s="74"/>
      <c r="M6" s="72" t="s">
        <v>554</v>
      </c>
      <c r="N6" s="74"/>
      <c r="O6" s="74"/>
    </row>
    <row r="7" spans="1:16" ht="22.05" customHeight="1" x14ac:dyDescent="0.3">
      <c r="A7" s="69">
        <v>4</v>
      </c>
      <c r="B7" s="7" t="s">
        <v>557</v>
      </c>
      <c r="C7" s="73" t="s">
        <v>35</v>
      </c>
      <c r="D7" s="72" t="s">
        <v>554</v>
      </c>
      <c r="E7" s="72" t="s">
        <v>554</v>
      </c>
      <c r="F7" s="72" t="s">
        <v>554</v>
      </c>
      <c r="G7" s="72" t="s">
        <v>554</v>
      </c>
      <c r="H7" s="72" t="s">
        <v>554</v>
      </c>
      <c r="I7" s="72" t="s">
        <v>554</v>
      </c>
      <c r="J7" s="72" t="s">
        <v>554</v>
      </c>
      <c r="K7" s="72" t="s">
        <v>554</v>
      </c>
      <c r="L7" s="72" t="s">
        <v>554</v>
      </c>
      <c r="M7" s="72" t="s">
        <v>554</v>
      </c>
      <c r="N7" s="72" t="s">
        <v>554</v>
      </c>
      <c r="O7" s="72" t="s">
        <v>554</v>
      </c>
    </row>
    <row r="8" spans="1:16" ht="22.05" customHeight="1" x14ac:dyDescent="0.3">
      <c r="A8" s="69">
        <v>5</v>
      </c>
      <c r="B8" s="70" t="s">
        <v>558</v>
      </c>
      <c r="C8" s="71" t="s">
        <v>40</v>
      </c>
      <c r="D8" s="72" t="s">
        <v>554</v>
      </c>
      <c r="E8" s="74"/>
      <c r="F8" s="72" t="s">
        <v>554</v>
      </c>
      <c r="G8" s="74"/>
      <c r="H8" s="72" t="s">
        <v>554</v>
      </c>
      <c r="I8" s="74"/>
      <c r="J8" s="72" t="s">
        <v>554</v>
      </c>
      <c r="K8" s="74"/>
      <c r="L8" s="72" t="s">
        <v>554</v>
      </c>
      <c r="M8" s="74"/>
      <c r="N8" s="72" t="s">
        <v>554</v>
      </c>
      <c r="O8" s="74"/>
    </row>
    <row r="9" spans="1:16" ht="22.05" customHeight="1" x14ac:dyDescent="0.3">
      <c r="A9" s="69">
        <v>6</v>
      </c>
      <c r="B9" s="7" t="s">
        <v>559</v>
      </c>
      <c r="C9" s="73" t="s">
        <v>28</v>
      </c>
      <c r="D9" s="72" t="s">
        <v>554</v>
      </c>
      <c r="E9" s="74"/>
      <c r="F9" s="74"/>
      <c r="G9" s="72" t="s">
        <v>554</v>
      </c>
      <c r="H9" s="74"/>
      <c r="I9" s="74"/>
      <c r="J9" s="72" t="s">
        <v>554</v>
      </c>
      <c r="K9" s="74"/>
      <c r="L9" s="74"/>
      <c r="M9" s="72" t="s">
        <v>554</v>
      </c>
      <c r="N9" s="74"/>
      <c r="O9" s="74"/>
    </row>
    <row r="10" spans="1:16" ht="22.05" customHeight="1" x14ac:dyDescent="0.3">
      <c r="A10" s="69">
        <v>7</v>
      </c>
      <c r="B10" s="70" t="s">
        <v>560</v>
      </c>
      <c r="C10" s="71" t="s">
        <v>14</v>
      </c>
      <c r="D10" s="72" t="s">
        <v>554</v>
      </c>
      <c r="E10" s="74"/>
      <c r="F10" s="72" t="s">
        <v>554</v>
      </c>
      <c r="G10" s="74"/>
      <c r="H10" s="72" t="s">
        <v>554</v>
      </c>
      <c r="I10" s="74"/>
      <c r="J10" s="72" t="s">
        <v>554</v>
      </c>
      <c r="K10" s="74"/>
      <c r="L10" s="72" t="s">
        <v>554</v>
      </c>
      <c r="M10" s="74"/>
      <c r="N10" s="72" t="s">
        <v>554</v>
      </c>
      <c r="O10" s="74"/>
    </row>
    <row r="11" spans="1:16" ht="22.05" customHeight="1" x14ac:dyDescent="0.3">
      <c r="A11" s="69">
        <v>8</v>
      </c>
      <c r="B11" s="7" t="s">
        <v>561</v>
      </c>
      <c r="C11" s="73" t="s">
        <v>47</v>
      </c>
      <c r="D11" s="72" t="s">
        <v>554</v>
      </c>
      <c r="E11" s="72" t="s">
        <v>554</v>
      </c>
      <c r="F11" s="72" t="s">
        <v>554</v>
      </c>
      <c r="G11" s="72" t="s">
        <v>554</v>
      </c>
      <c r="H11" s="72" t="s">
        <v>554</v>
      </c>
      <c r="I11" s="72" t="s">
        <v>554</v>
      </c>
      <c r="J11" s="72" t="s">
        <v>554</v>
      </c>
      <c r="K11" s="72" t="s">
        <v>554</v>
      </c>
      <c r="L11" s="72" t="s">
        <v>554</v>
      </c>
      <c r="M11" s="72" t="s">
        <v>554</v>
      </c>
      <c r="N11" s="72" t="s">
        <v>554</v>
      </c>
      <c r="O11" s="72" t="s">
        <v>554</v>
      </c>
    </row>
    <row r="12" spans="1:16" ht="22.05" customHeight="1" x14ac:dyDescent="0.3">
      <c r="A12" s="69">
        <v>9</v>
      </c>
      <c r="B12" s="70" t="s">
        <v>562</v>
      </c>
      <c r="C12" s="71" t="s">
        <v>143</v>
      </c>
      <c r="D12" s="72" t="s">
        <v>554</v>
      </c>
      <c r="E12" s="72" t="s">
        <v>554</v>
      </c>
      <c r="F12" s="72" t="s">
        <v>554</v>
      </c>
      <c r="G12" s="72" t="s">
        <v>554</v>
      </c>
      <c r="H12" s="72" t="s">
        <v>554</v>
      </c>
      <c r="I12" s="72" t="s">
        <v>554</v>
      </c>
      <c r="J12" s="72" t="s">
        <v>554</v>
      </c>
      <c r="K12" s="72" t="s">
        <v>554</v>
      </c>
      <c r="L12" s="72" t="s">
        <v>554</v>
      </c>
      <c r="M12" s="72" t="s">
        <v>554</v>
      </c>
      <c r="N12" s="72" t="s">
        <v>554</v>
      </c>
      <c r="O12" s="72" t="s">
        <v>554</v>
      </c>
    </row>
    <row r="13" spans="1:16" ht="22.05" customHeight="1" x14ac:dyDescent="0.3">
      <c r="A13" s="69">
        <v>10</v>
      </c>
      <c r="B13" s="7" t="s">
        <v>563</v>
      </c>
      <c r="C13" s="73" t="s">
        <v>35</v>
      </c>
      <c r="D13" s="72" t="s">
        <v>554</v>
      </c>
      <c r="E13" s="74"/>
      <c r="F13" s="74"/>
      <c r="G13" s="72" t="s">
        <v>554</v>
      </c>
      <c r="H13" s="74"/>
      <c r="I13" s="74"/>
      <c r="J13" s="72" t="s">
        <v>554</v>
      </c>
      <c r="K13" s="74"/>
      <c r="L13" s="74"/>
      <c r="M13" s="72" t="s">
        <v>554</v>
      </c>
      <c r="N13" s="74"/>
      <c r="O13" s="74"/>
    </row>
    <row r="14" spans="1:16" ht="22.05" customHeight="1" x14ac:dyDescent="0.3">
      <c r="A14" s="69">
        <v>11</v>
      </c>
      <c r="B14" s="70" t="s">
        <v>564</v>
      </c>
      <c r="C14" s="71" t="s">
        <v>97</v>
      </c>
      <c r="D14" s="74"/>
      <c r="E14" s="72" t="s">
        <v>554</v>
      </c>
      <c r="F14" s="74"/>
      <c r="G14" s="74"/>
      <c r="H14" s="72" t="s">
        <v>554</v>
      </c>
      <c r="I14" s="74"/>
      <c r="J14" s="74"/>
      <c r="K14" s="72" t="s">
        <v>554</v>
      </c>
      <c r="L14" s="74"/>
      <c r="M14" s="74"/>
      <c r="N14" s="72" t="s">
        <v>554</v>
      </c>
      <c r="O14" s="74"/>
    </row>
    <row r="15" spans="1:16" ht="22.05" customHeight="1" x14ac:dyDescent="0.3">
      <c r="A15" s="69">
        <v>12</v>
      </c>
      <c r="B15" s="7" t="s">
        <v>565</v>
      </c>
      <c r="C15" s="73" t="s">
        <v>89</v>
      </c>
      <c r="D15" s="72" t="s">
        <v>554</v>
      </c>
      <c r="E15" s="74"/>
      <c r="F15" s="74"/>
      <c r="G15" s="74"/>
      <c r="H15" s="74"/>
      <c r="I15" s="74"/>
      <c r="J15" s="72" t="s">
        <v>554</v>
      </c>
      <c r="K15" s="74"/>
      <c r="L15" s="74"/>
      <c r="M15" s="74"/>
      <c r="N15" s="74"/>
      <c r="O15" s="74"/>
    </row>
    <row r="16" spans="1:16" ht="22.05" customHeight="1" x14ac:dyDescent="0.3">
      <c r="A16" s="69">
        <v>13</v>
      </c>
      <c r="B16" s="70" t="s">
        <v>566</v>
      </c>
      <c r="C16" s="71" t="s">
        <v>14</v>
      </c>
      <c r="D16" s="72" t="s">
        <v>554</v>
      </c>
      <c r="E16" s="74"/>
      <c r="F16" s="74"/>
      <c r="G16" s="74"/>
      <c r="H16" s="72" t="s">
        <v>554</v>
      </c>
      <c r="I16" s="74"/>
      <c r="J16" s="74"/>
      <c r="K16" s="74"/>
      <c r="L16" s="72" t="s">
        <v>554</v>
      </c>
      <c r="M16" s="74"/>
      <c r="N16" s="74"/>
      <c r="O16" s="74"/>
    </row>
    <row r="17" spans="1:15" ht="22.05" customHeight="1" x14ac:dyDescent="0.3">
      <c r="A17" s="69">
        <v>14</v>
      </c>
      <c r="B17" s="7" t="s">
        <v>567</v>
      </c>
      <c r="C17" s="73" t="s">
        <v>21</v>
      </c>
      <c r="D17" s="72" t="s">
        <v>554</v>
      </c>
      <c r="E17" s="72" t="s">
        <v>554</v>
      </c>
      <c r="F17" s="72" t="s">
        <v>554</v>
      </c>
      <c r="G17" s="72" t="s">
        <v>554</v>
      </c>
      <c r="H17" s="72" t="s">
        <v>554</v>
      </c>
      <c r="I17" s="72" t="s">
        <v>554</v>
      </c>
      <c r="J17" s="72" t="s">
        <v>554</v>
      </c>
      <c r="K17" s="72" t="s">
        <v>554</v>
      </c>
      <c r="L17" s="72" t="s">
        <v>554</v>
      </c>
      <c r="M17" s="72" t="s">
        <v>554</v>
      </c>
      <c r="N17" s="72" t="s">
        <v>554</v>
      </c>
      <c r="O17" s="72" t="s">
        <v>554</v>
      </c>
    </row>
    <row r="18" spans="1:15" ht="22.05" customHeight="1" x14ac:dyDescent="0.3">
      <c r="A18" s="69">
        <v>15</v>
      </c>
      <c r="B18" s="70" t="s">
        <v>568</v>
      </c>
      <c r="C18" s="71" t="s">
        <v>35</v>
      </c>
      <c r="D18" s="72" t="s">
        <v>554</v>
      </c>
      <c r="E18" s="74"/>
      <c r="F18" s="74"/>
      <c r="G18" s="72" t="s">
        <v>554</v>
      </c>
      <c r="H18" s="74"/>
      <c r="I18" s="74"/>
      <c r="J18" s="72" t="s">
        <v>554</v>
      </c>
      <c r="K18" s="74"/>
      <c r="L18" s="74"/>
      <c r="M18" s="72" t="s">
        <v>554</v>
      </c>
      <c r="N18" s="74"/>
      <c r="O18" s="74"/>
    </row>
    <row r="19" spans="1:15" ht="22.05" customHeight="1" x14ac:dyDescent="0.3">
      <c r="A19" s="69">
        <v>16</v>
      </c>
      <c r="B19" s="7" t="s">
        <v>569</v>
      </c>
      <c r="C19" s="73" t="s">
        <v>14</v>
      </c>
      <c r="D19" s="72" t="s">
        <v>554</v>
      </c>
      <c r="E19" s="74"/>
      <c r="F19" s="74"/>
      <c r="G19" s="74"/>
      <c r="H19" s="74"/>
      <c r="I19" s="74"/>
      <c r="J19" s="72" t="s">
        <v>554</v>
      </c>
      <c r="K19" s="74"/>
      <c r="L19" s="74"/>
      <c r="M19" s="74"/>
      <c r="N19" s="74"/>
      <c r="O19" s="74"/>
    </row>
    <row r="20" spans="1:15" ht="22.05" customHeight="1" x14ac:dyDescent="0.3">
      <c r="A20" s="69">
        <v>17</v>
      </c>
      <c r="B20" s="70" t="s">
        <v>570</v>
      </c>
      <c r="C20" s="71" t="s">
        <v>44</v>
      </c>
      <c r="D20" s="74"/>
      <c r="E20" s="74"/>
      <c r="F20" s="72" t="s">
        <v>554</v>
      </c>
      <c r="G20" s="74"/>
      <c r="H20" s="74"/>
      <c r="I20" s="74"/>
      <c r="J20" s="74"/>
      <c r="K20" s="74"/>
      <c r="L20" s="74"/>
      <c r="M20" s="72" t="s">
        <v>554</v>
      </c>
      <c r="N20" s="74"/>
      <c r="O20" s="74"/>
    </row>
    <row r="21" spans="1:15" ht="22.05" customHeight="1" x14ac:dyDescent="0.3">
      <c r="A21" s="69">
        <v>18</v>
      </c>
      <c r="B21" s="7" t="s">
        <v>571</v>
      </c>
      <c r="C21" s="73" t="s">
        <v>572</v>
      </c>
      <c r="D21" s="72" t="s">
        <v>554</v>
      </c>
      <c r="E21" s="72" t="s">
        <v>554</v>
      </c>
      <c r="F21" s="72" t="s">
        <v>554</v>
      </c>
      <c r="G21" s="72" t="s">
        <v>554</v>
      </c>
      <c r="H21" s="72" t="s">
        <v>554</v>
      </c>
      <c r="I21" s="72" t="s">
        <v>554</v>
      </c>
      <c r="J21" s="72" t="s">
        <v>554</v>
      </c>
      <c r="K21" s="72" t="s">
        <v>554</v>
      </c>
      <c r="L21" s="72" t="s">
        <v>554</v>
      </c>
      <c r="M21" s="72" t="s">
        <v>554</v>
      </c>
      <c r="N21" s="72" t="s">
        <v>554</v>
      </c>
      <c r="O21" s="72" t="s">
        <v>554</v>
      </c>
    </row>
    <row r="23" spans="1:15" ht="22.05" customHeight="1" x14ac:dyDescent="0.3">
      <c r="A23" s="139" t="s">
        <v>573</v>
      </c>
      <c r="B23" s="84"/>
      <c r="C23" s="84"/>
      <c r="D23" s="75">
        <f t="shared" ref="D23:O23" si="0">COUNTIF(D4:D21,"✅ Done")</f>
        <v>0</v>
      </c>
      <c r="E23" s="75">
        <f t="shared" si="0"/>
        <v>0</v>
      </c>
      <c r="F23" s="75">
        <f t="shared" si="0"/>
        <v>0</v>
      </c>
      <c r="G23" s="75">
        <f t="shared" si="0"/>
        <v>0</v>
      </c>
      <c r="H23" s="75">
        <f t="shared" si="0"/>
        <v>0</v>
      </c>
      <c r="I23" s="75">
        <f t="shared" si="0"/>
        <v>0</v>
      </c>
      <c r="J23" s="75">
        <f t="shared" si="0"/>
        <v>0</v>
      </c>
      <c r="K23" s="75">
        <f t="shared" si="0"/>
        <v>0</v>
      </c>
      <c r="L23" s="75">
        <f t="shared" si="0"/>
        <v>0</v>
      </c>
      <c r="M23" s="75">
        <f t="shared" si="0"/>
        <v>0</v>
      </c>
      <c r="N23" s="75">
        <f t="shared" si="0"/>
        <v>0</v>
      </c>
      <c r="O23" s="75">
        <f t="shared" si="0"/>
        <v>0</v>
      </c>
    </row>
  </sheetData>
  <mergeCells count="6">
    <mergeCell ref="K2:M2"/>
    <mergeCell ref="N2:P2"/>
    <mergeCell ref="A23:C23"/>
    <mergeCell ref="A1:P1"/>
    <mergeCell ref="H2:J2"/>
    <mergeCell ref="D2:G2"/>
  </mergeCells>
  <dataValidations count="1">
    <dataValidation type="list" allowBlank="1" sqref="D4 D5 D6 D7 D8 D9 D10 D11 D12 D13 D14 D15 D16 D17 D18 D19 D20 D21 E4 E5 E6 E7 E8 E9 E10 E11 E12 E13 E14 E15 E16 E17 E18 E19 E20 E21 F4 F5 F6 F7 F8 F9 F10 F11 F12 F13 F14 F15 F16 F17 F18 F19 F20 F21 G4 G5 G6 G7 G8 G9 G10 G11 G12 G13 G14 G15 G16 G17 G18 G19 G20 G21 H4 H5 H6 H7 H8 H9 H10 H11 H12 H13 H14 H15 H16 H17 H18 H19 H20 H21 I4 I5 I6 I7 I8 I9 I10 I11 I12 I13 I14 I15 I16 I17 I18 I19 I20 I21 J4 J5 J6 J7 J8 J9 J10 J11 J12 J13 J14 J15 J16 J17 J18 J19 J20 J21 K4 K5 K6 K7 K8 K9 K10 K11 K12 K13 K14 K15 K16 K17 K18 K19 K20 K21 L4 L5 L6 L7 L8 L9 L10 L11 L12 L13 L14 L15 L16 L17 L18 L19 L20 L21 M4 M5 M6 M7 M8 M9 M10 M11 M12 M13 M14 M15 M16 M17 M18 M19 M20 M21 N4 N5 N6 N7 N8 N9 N10 N11 N12 N13 N14 N15 N16 N17 N18 N19 N20 N21 O4 O5 O6 O7 O8 O9 O10 O11 O12 O13 O14 O15 O16 O17 O18 O19 O20 O21" xr:uid="{00000000-0002-0000-0400-000000000000}">
      <formula1>"✅ Done,🔄 In Progress,⏳ Planned,❌ Skip,➡️ Rescheduled"</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5"/>
  <sheetViews>
    <sheetView zoomScale="90" workbookViewId="0">
      <selection sqref="A1:N1"/>
    </sheetView>
  </sheetViews>
  <sheetFormatPr defaultRowHeight="14.4" x14ac:dyDescent="0.3"/>
  <cols>
    <col min="1" max="1" width="14" customWidth="1"/>
    <col min="2" max="2" width="10" customWidth="1"/>
    <col min="3" max="3" width="13" customWidth="1"/>
    <col min="4" max="4" width="12" customWidth="1"/>
    <col min="5" max="5" width="10" customWidth="1"/>
    <col min="6" max="6" width="13" customWidth="1"/>
    <col min="7" max="7" width="10" customWidth="1"/>
    <col min="8" max="8" width="14" customWidth="1"/>
    <col min="9" max="10" width="12" customWidth="1"/>
    <col min="11" max="11" width="18" customWidth="1"/>
    <col min="12" max="12" width="13" customWidth="1"/>
    <col min="13" max="13" width="14" customWidth="1"/>
    <col min="14" max="14" width="30" customWidth="1"/>
  </cols>
  <sheetData>
    <row r="1" spans="1:14" ht="38.049999999999997" customHeight="1" x14ac:dyDescent="0.3">
      <c r="A1" s="136" t="s">
        <v>574</v>
      </c>
      <c r="B1" s="84"/>
      <c r="C1" s="84"/>
      <c r="D1" s="84"/>
      <c r="E1" s="84"/>
      <c r="F1" s="84"/>
      <c r="G1" s="84"/>
      <c r="H1" s="84"/>
      <c r="I1" s="84"/>
      <c r="J1" s="84"/>
      <c r="K1" s="84"/>
      <c r="L1" s="84"/>
      <c r="M1" s="84"/>
      <c r="N1" s="84"/>
    </row>
    <row r="2" spans="1:14" ht="24.05" customHeight="1" x14ac:dyDescent="0.3">
      <c r="A2" s="2" t="s">
        <v>575</v>
      </c>
      <c r="B2" s="2" t="s">
        <v>5</v>
      </c>
      <c r="C2" s="2" t="s">
        <v>431</v>
      </c>
      <c r="D2" s="2" t="s">
        <v>432</v>
      </c>
      <c r="E2" s="2" t="s">
        <v>434</v>
      </c>
      <c r="F2" s="2" t="s">
        <v>433</v>
      </c>
      <c r="G2" s="2" t="s">
        <v>576</v>
      </c>
      <c r="H2" s="2" t="s">
        <v>436</v>
      </c>
      <c r="I2" s="2" t="s">
        <v>577</v>
      </c>
      <c r="J2" s="2" t="s">
        <v>578</v>
      </c>
      <c r="K2" s="2" t="s">
        <v>77</v>
      </c>
      <c r="L2" s="2" t="s">
        <v>579</v>
      </c>
      <c r="M2" s="2" t="s">
        <v>580</v>
      </c>
      <c r="N2" s="2" t="s">
        <v>81</v>
      </c>
    </row>
    <row r="3" spans="1:14" ht="22.05" customHeight="1" x14ac:dyDescent="0.3">
      <c r="A3" s="76" t="s">
        <v>581</v>
      </c>
      <c r="B3" s="76" t="s">
        <v>13</v>
      </c>
      <c r="C3" s="54">
        <v>45</v>
      </c>
      <c r="D3" s="54">
        <v>32</v>
      </c>
      <c r="E3" s="54">
        <v>6</v>
      </c>
      <c r="F3" s="54">
        <v>5</v>
      </c>
      <c r="G3" s="54">
        <v>2</v>
      </c>
      <c r="H3" s="54" t="s">
        <v>582</v>
      </c>
      <c r="I3" s="54" t="s">
        <v>583</v>
      </c>
      <c r="J3" s="54">
        <v>72</v>
      </c>
      <c r="K3" s="77">
        <v>38500</v>
      </c>
      <c r="L3" s="54"/>
      <c r="M3" s="54" t="s">
        <v>584</v>
      </c>
      <c r="N3" s="59" t="s">
        <v>585</v>
      </c>
    </row>
    <row r="4" spans="1:14" ht="22.05" customHeight="1" x14ac:dyDescent="0.3">
      <c r="A4" s="78" t="s">
        <v>586</v>
      </c>
      <c r="B4" s="78" t="s">
        <v>13</v>
      </c>
      <c r="C4" s="57">
        <v>38</v>
      </c>
      <c r="D4" s="57">
        <v>28</v>
      </c>
      <c r="E4" s="57">
        <v>5</v>
      </c>
      <c r="F4" s="57">
        <v>3</v>
      </c>
      <c r="G4" s="57">
        <v>1</v>
      </c>
      <c r="H4" s="57" t="s">
        <v>587</v>
      </c>
      <c r="I4" s="57" t="s">
        <v>588</v>
      </c>
      <c r="J4" s="57">
        <v>75</v>
      </c>
      <c r="K4" s="79">
        <v>29200</v>
      </c>
      <c r="L4" s="57"/>
      <c r="M4" s="57" t="s">
        <v>589</v>
      </c>
      <c r="N4" s="6"/>
    </row>
    <row r="5" spans="1:14" ht="22.05" customHeight="1" x14ac:dyDescent="0.3">
      <c r="A5" s="76" t="s">
        <v>590</v>
      </c>
      <c r="B5" s="76" t="s">
        <v>13</v>
      </c>
      <c r="C5" s="54">
        <v>52</v>
      </c>
      <c r="D5" s="54">
        <v>40</v>
      </c>
      <c r="E5" s="54">
        <v>7</v>
      </c>
      <c r="F5" s="54">
        <v>4</v>
      </c>
      <c r="G5" s="54">
        <v>3</v>
      </c>
      <c r="H5" s="54" t="s">
        <v>591</v>
      </c>
      <c r="I5" s="54" t="s">
        <v>592</v>
      </c>
      <c r="J5" s="54">
        <v>78</v>
      </c>
      <c r="K5" s="77">
        <v>44100</v>
      </c>
      <c r="L5" s="54"/>
      <c r="M5" s="54" t="s">
        <v>593</v>
      </c>
      <c r="N5" s="59" t="s">
        <v>594</v>
      </c>
    </row>
    <row r="6" spans="1:14" ht="22.05" customHeight="1" x14ac:dyDescent="0.3">
      <c r="A6" s="78" t="s">
        <v>595</v>
      </c>
      <c r="B6" s="78" t="s">
        <v>13</v>
      </c>
      <c r="C6" s="57">
        <v>29</v>
      </c>
      <c r="D6" s="57">
        <v>25</v>
      </c>
      <c r="E6" s="57">
        <v>2</v>
      </c>
      <c r="F6" s="57">
        <v>2</v>
      </c>
      <c r="G6" s="57">
        <v>0</v>
      </c>
      <c r="H6" s="57" t="s">
        <v>596</v>
      </c>
      <c r="I6" s="57" t="s">
        <v>597</v>
      </c>
      <c r="J6" s="57">
        <v>85</v>
      </c>
      <c r="K6" s="79">
        <v>21800</v>
      </c>
      <c r="L6" s="57"/>
      <c r="M6" s="57" t="s">
        <v>598</v>
      </c>
      <c r="N6" s="6" t="s">
        <v>599</v>
      </c>
    </row>
    <row r="7" spans="1:14" ht="22.05" customHeight="1" x14ac:dyDescent="0.3">
      <c r="A7" s="76" t="s">
        <v>600</v>
      </c>
      <c r="B7" s="76" t="s">
        <v>20</v>
      </c>
      <c r="C7" s="54">
        <v>41</v>
      </c>
      <c r="D7" s="54">
        <v>30</v>
      </c>
      <c r="E7" s="54">
        <v>6</v>
      </c>
      <c r="F7" s="54">
        <v>4</v>
      </c>
      <c r="G7" s="54">
        <v>2</v>
      </c>
      <c r="H7" s="54" t="s">
        <v>601</v>
      </c>
      <c r="I7" s="54" t="s">
        <v>602</v>
      </c>
      <c r="J7" s="54">
        <v>74</v>
      </c>
      <c r="K7" s="77">
        <v>33700</v>
      </c>
      <c r="L7" s="54"/>
      <c r="M7" s="54" t="s">
        <v>603</v>
      </c>
      <c r="N7" s="59"/>
    </row>
    <row r="8" spans="1:14" ht="22.05" customHeight="1" x14ac:dyDescent="0.3">
      <c r="A8" s="78" t="s">
        <v>604</v>
      </c>
      <c r="B8" s="78" t="s">
        <v>20</v>
      </c>
      <c r="C8" s="57">
        <v>48</v>
      </c>
      <c r="D8" s="57">
        <v>35</v>
      </c>
      <c r="E8" s="57">
        <v>8</v>
      </c>
      <c r="F8" s="57">
        <v>4</v>
      </c>
      <c r="G8" s="57">
        <v>3</v>
      </c>
      <c r="H8" s="57" t="s">
        <v>605</v>
      </c>
      <c r="I8" s="57" t="s">
        <v>606</v>
      </c>
      <c r="J8" s="57">
        <v>73</v>
      </c>
      <c r="K8" s="79">
        <v>42500</v>
      </c>
      <c r="L8" s="57"/>
      <c r="M8" s="57" t="s">
        <v>607</v>
      </c>
      <c r="N8" s="6"/>
    </row>
    <row r="9" spans="1:14" ht="22.05" customHeight="1" x14ac:dyDescent="0.3">
      <c r="A9" s="76" t="s">
        <v>608</v>
      </c>
      <c r="B9" s="76" t="s">
        <v>27</v>
      </c>
      <c r="C9" s="54"/>
      <c r="D9" s="54"/>
      <c r="E9" s="54"/>
      <c r="F9" s="54"/>
      <c r="G9" s="54"/>
      <c r="H9" s="54"/>
      <c r="I9" s="54"/>
      <c r="J9" s="54"/>
      <c r="K9" s="54"/>
      <c r="L9" s="54"/>
      <c r="M9" s="54"/>
      <c r="N9" s="59" t="s">
        <v>609</v>
      </c>
    </row>
    <row r="10" spans="1:14" ht="22.05" customHeight="1" x14ac:dyDescent="0.3">
      <c r="A10" s="78" t="s">
        <v>610</v>
      </c>
      <c r="B10" s="78" t="s">
        <v>27</v>
      </c>
      <c r="C10" s="57"/>
      <c r="D10" s="57"/>
      <c r="E10" s="57"/>
      <c r="F10" s="57"/>
      <c r="G10" s="57"/>
      <c r="H10" s="57"/>
      <c r="I10" s="57"/>
      <c r="J10" s="57"/>
      <c r="K10" s="57"/>
      <c r="L10" s="57"/>
      <c r="M10" s="57"/>
      <c r="N10" s="6"/>
    </row>
    <row r="11" spans="1:14" ht="22.05" customHeight="1" x14ac:dyDescent="0.3">
      <c r="A11" s="76" t="s">
        <v>549</v>
      </c>
      <c r="B11" s="76" t="s">
        <v>27</v>
      </c>
      <c r="C11" s="54"/>
      <c r="D11" s="54"/>
      <c r="E11" s="54"/>
      <c r="F11" s="54"/>
      <c r="G11" s="54"/>
      <c r="H11" s="54"/>
      <c r="I11" s="54"/>
      <c r="J11" s="54"/>
      <c r="K11" s="54"/>
      <c r="L11" s="54"/>
      <c r="M11" s="54"/>
      <c r="N11" s="59"/>
    </row>
    <row r="12" spans="1:14" ht="22.05" customHeight="1" x14ac:dyDescent="0.3">
      <c r="A12" s="78" t="s">
        <v>611</v>
      </c>
      <c r="B12" s="78" t="s">
        <v>27</v>
      </c>
      <c r="C12" s="57"/>
      <c r="D12" s="57"/>
      <c r="E12" s="57"/>
      <c r="F12" s="57"/>
      <c r="G12" s="57"/>
      <c r="H12" s="57"/>
      <c r="I12" s="57"/>
      <c r="J12" s="57"/>
      <c r="K12" s="57"/>
      <c r="L12" s="57"/>
      <c r="M12" s="57"/>
      <c r="N12" s="6"/>
    </row>
    <row r="13" spans="1:14" ht="22.05" customHeight="1" x14ac:dyDescent="0.3">
      <c r="A13" s="76" t="s">
        <v>612</v>
      </c>
      <c r="B13" s="76" t="s">
        <v>34</v>
      </c>
      <c r="C13" s="54"/>
      <c r="D13" s="54"/>
      <c r="E13" s="54"/>
      <c r="F13" s="54"/>
      <c r="G13" s="54"/>
      <c r="H13" s="54"/>
      <c r="I13" s="54"/>
      <c r="J13" s="54"/>
      <c r="K13" s="54"/>
      <c r="L13" s="54"/>
      <c r="M13" s="54"/>
      <c r="N13" s="59"/>
    </row>
    <row r="14" spans="1:14" ht="22.05" customHeight="1" x14ac:dyDescent="0.3">
      <c r="A14" s="78" t="s">
        <v>613</v>
      </c>
      <c r="B14" s="78" t="s">
        <v>34</v>
      </c>
      <c r="C14" s="57"/>
      <c r="D14" s="57"/>
      <c r="E14" s="57"/>
      <c r="F14" s="57"/>
      <c r="G14" s="57"/>
      <c r="H14" s="57"/>
      <c r="I14" s="57"/>
      <c r="J14" s="57"/>
      <c r="K14" s="57"/>
      <c r="L14" s="57"/>
      <c r="M14" s="57"/>
      <c r="N14" s="6"/>
    </row>
    <row r="15" spans="1:14" ht="24.05" customHeight="1" x14ac:dyDescent="0.3">
      <c r="A15" s="142" t="s">
        <v>614</v>
      </c>
      <c r="B15" s="84"/>
      <c r="C15" s="80">
        <f>SUM(C3:C14)</f>
        <v>253</v>
      </c>
      <c r="D15" s="80">
        <f>SUM(D3:D14)</f>
        <v>190</v>
      </c>
      <c r="E15" s="81"/>
      <c r="F15" s="81"/>
      <c r="G15" s="81"/>
      <c r="H15" s="81"/>
      <c r="I15" s="81"/>
      <c r="J15" s="81"/>
      <c r="K15" s="82">
        <f>SUM(K3:K14)</f>
        <v>209800</v>
      </c>
      <c r="L15" s="81"/>
      <c r="M15" s="81"/>
      <c r="N15" s="81"/>
    </row>
  </sheetData>
  <mergeCells count="2">
    <mergeCell ref="A15:B15"/>
    <mergeCell ref="A1:N1"/>
  </mergeCells>
  <conditionalFormatting sqref="H3:H14">
    <cfRule type="colorScale" priority="1">
      <colorScale>
        <cfvo type="num" val="0.5"/>
        <cfvo type="num" val="0.75"/>
        <cfvo type="num" val="1"/>
        <color rgb="FFFF6666"/>
        <color rgb="FFFFFF99"/>
        <color rgb="FF00B050"/>
      </colorScale>
    </cfRule>
  </conditionalFormatting>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C23"/>
  <sheetViews>
    <sheetView workbookViewId="0"/>
  </sheetViews>
  <sheetFormatPr defaultRowHeight="14.4" x14ac:dyDescent="0.3"/>
  <cols>
    <col min="1" max="1" width="3" customWidth="1"/>
    <col min="2" max="2" width="62" customWidth="1"/>
    <col min="3" max="3" width="52" customWidth="1"/>
  </cols>
  <sheetData>
    <row r="1" spans="2:3" ht="40.049999999999997" customHeight="1" x14ac:dyDescent="0.3">
      <c r="B1" s="136" t="s">
        <v>615</v>
      </c>
      <c r="C1" s="84"/>
    </row>
    <row r="3" spans="2:3" ht="27.95" customHeight="1" x14ac:dyDescent="0.3">
      <c r="B3" s="144" t="s">
        <v>616</v>
      </c>
      <c r="C3" s="84"/>
    </row>
    <row r="4" spans="2:3" ht="112.05" customHeight="1" x14ac:dyDescent="0.3">
      <c r="B4" s="143" t="s">
        <v>617</v>
      </c>
      <c r="C4" s="84"/>
    </row>
    <row r="5" spans="2:3" ht="8.1" customHeight="1" x14ac:dyDescent="0.3"/>
    <row r="6" spans="2:3" ht="27.95" customHeight="1" x14ac:dyDescent="0.3">
      <c r="B6" s="144" t="s">
        <v>618</v>
      </c>
      <c r="C6" s="84"/>
    </row>
    <row r="7" spans="2:3" ht="224.1" customHeight="1" x14ac:dyDescent="0.3">
      <c r="B7" s="143" t="s">
        <v>619</v>
      </c>
      <c r="C7" s="84"/>
    </row>
    <row r="8" spans="2:3" ht="8.1" customHeight="1" x14ac:dyDescent="0.3"/>
    <row r="9" spans="2:3" ht="27.95" customHeight="1" x14ac:dyDescent="0.3">
      <c r="B9" s="144" t="s">
        <v>620</v>
      </c>
      <c r="C9" s="84"/>
    </row>
    <row r="10" spans="2:3" ht="98.1" customHeight="1" x14ac:dyDescent="0.3">
      <c r="B10" s="143" t="s">
        <v>621</v>
      </c>
      <c r="C10" s="84"/>
    </row>
    <row r="11" spans="2:3" ht="8.1" customHeight="1" x14ac:dyDescent="0.3"/>
    <row r="12" spans="2:3" ht="27.95" customHeight="1" x14ac:dyDescent="0.3">
      <c r="B12" s="144" t="s">
        <v>622</v>
      </c>
      <c r="C12" s="84"/>
    </row>
    <row r="13" spans="2:3" ht="80.099999999999994" customHeight="1" x14ac:dyDescent="0.3">
      <c r="B13" s="143" t="s">
        <v>623</v>
      </c>
      <c r="C13" s="84"/>
    </row>
    <row r="14" spans="2:3" ht="8.1" customHeight="1" x14ac:dyDescent="0.3"/>
    <row r="15" spans="2:3" ht="27.95" customHeight="1" x14ac:dyDescent="0.3">
      <c r="B15" s="144" t="s">
        <v>624</v>
      </c>
      <c r="C15" s="84"/>
    </row>
    <row r="16" spans="2:3" ht="83.95" customHeight="1" x14ac:dyDescent="0.3">
      <c r="B16" s="143" t="s">
        <v>625</v>
      </c>
      <c r="C16" s="84"/>
    </row>
    <row r="17" spans="2:3" ht="8.1" customHeight="1" x14ac:dyDescent="0.3"/>
    <row r="18" spans="2:3" ht="27.95" customHeight="1" x14ac:dyDescent="0.3">
      <c r="B18" s="144" t="s">
        <v>626</v>
      </c>
      <c r="C18" s="84"/>
    </row>
    <row r="19" spans="2:3" ht="80.099999999999994" customHeight="1" x14ac:dyDescent="0.3">
      <c r="B19" s="143" t="s">
        <v>627</v>
      </c>
      <c r="C19" s="84"/>
    </row>
    <row r="20" spans="2:3" ht="8.1" customHeight="1" x14ac:dyDescent="0.3"/>
    <row r="21" spans="2:3" ht="27.95" customHeight="1" x14ac:dyDescent="0.3">
      <c r="B21" s="144" t="s">
        <v>628</v>
      </c>
      <c r="C21" s="84"/>
    </row>
    <row r="22" spans="2:3" ht="83.95" customHeight="1" x14ac:dyDescent="0.3">
      <c r="B22" s="143" t="s">
        <v>629</v>
      </c>
      <c r="C22" s="84"/>
    </row>
    <row r="23" spans="2:3" ht="8.1" customHeight="1" x14ac:dyDescent="0.3"/>
  </sheetData>
  <mergeCells count="15">
    <mergeCell ref="B19:C19"/>
    <mergeCell ref="B10:C10"/>
    <mergeCell ref="B22:C22"/>
    <mergeCell ref="B9:C9"/>
    <mergeCell ref="B13:C13"/>
    <mergeCell ref="B21:C21"/>
    <mergeCell ref="B16:C16"/>
    <mergeCell ref="B15:C15"/>
    <mergeCell ref="B1:C1"/>
    <mergeCell ref="B4:C4"/>
    <mergeCell ref="B18:C18"/>
    <mergeCell ref="B12:C12"/>
    <mergeCell ref="B3:C3"/>
    <mergeCell ref="B6:C6"/>
    <mergeCell ref="B7:C7"/>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 Settings</vt:lpstr>
      <vt:lpstr>📋 Task Tracker</vt:lpstr>
      <vt:lpstr>📊 Analytics Dashboard</vt:lpstr>
      <vt:lpstr>🏢 Vendors</vt:lpstr>
      <vt:lpstr>📅 Annual Schedule</vt:lpstr>
      <vt:lpstr>📈 Annual Trend Log</vt:lpstr>
      <vt:lpstr>ℹ️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Mr. Yamen</cp:lastModifiedBy>
  <dcterms:created xsi:type="dcterms:W3CDTF">2026-03-09T14:02:16Z</dcterms:created>
  <dcterms:modified xsi:type="dcterms:W3CDTF">2026-03-10T09:37:20Z</dcterms:modified>
</cp:coreProperties>
</file>